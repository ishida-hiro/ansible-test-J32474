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情報" sheetId="1" state="visible" r:id="rId1"/>
    <sheet xmlns:r="http://schemas.openxmlformats.org/officeDocument/2006/relationships" name="工数" sheetId="2" state="visible" r:id="rId2"/>
    <sheet xmlns:r="http://schemas.openxmlformats.org/officeDocument/2006/relationships" name="設計項目別結果" sheetId="3" state="visible" r:id="rId3"/>
    <sheet xmlns:r="http://schemas.openxmlformats.org/officeDocument/2006/relationships" name="差分・修正" sheetId="4" state="visible" r:id="rId4"/>
    <sheet xmlns:r="http://schemas.openxmlformats.org/officeDocument/2006/relationships" name="実施手順" sheetId="5" state="visible" r:id="rId5"/>
    <sheet xmlns:r="http://schemas.openxmlformats.org/officeDocument/2006/relationships" name="課題" sheetId="6" state="visible" r:id="rId6"/>
    <sheet xmlns:r="http://schemas.openxmlformats.org/officeDocument/2006/relationships" name="記入要領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hh:mm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9E5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3" fillId="0" borderId="1" pivotButton="0" quotePrefix="0" xfId="0"/>
    <xf numFmtId="9" fontId="0" fillId="4" borderId="1" pivotButton="0" quotePrefix="0" xfId="0"/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検証記録</t>
        </is>
      </c>
    </row>
    <row r="2">
      <c r="A2" s="2" t="inlineStr">
        <is>
          <t>黄色の欄に記入します。灰色の欄は他のシートから自動で計算されます。</t>
        </is>
      </c>
    </row>
    <row r="4">
      <c r="A4" s="3" t="inlineStr">
        <is>
          <t>記入者</t>
        </is>
      </c>
      <c r="B4" s="4" t="n"/>
    </row>
    <row r="5">
      <c r="A5" s="3" t="inlineStr">
        <is>
          <t>記入日</t>
        </is>
      </c>
      <c r="B5" s="4" t="n"/>
    </row>
    <row r="6">
      <c r="A6" s="3" t="inlineStr">
        <is>
          <t>案件・設計書</t>
        </is>
      </c>
      <c r="B6" s="4" t="n"/>
    </row>
    <row r="7">
      <c r="A7" s="3" t="inlineStr">
        <is>
          <t>対象ホスト名</t>
        </is>
      </c>
      <c r="B7" s="4" t="n"/>
    </row>
    <row r="8">
      <c r="A8" s="3" t="inlineStr">
        <is>
          <t>用途</t>
        </is>
      </c>
      <c r="B8" s="4" t="n"/>
    </row>
    <row r="9">
      <c r="A9" s="3" t="inlineStr">
        <is>
          <t>OS</t>
        </is>
      </c>
      <c r="B9" s="4" t="n"/>
    </row>
    <row r="10">
      <c r="A10" s="3" t="inlineStr">
        <is>
          <t>環境</t>
        </is>
      </c>
      <c r="B10" s="4" t="n"/>
    </row>
    <row r="11">
      <c r="A11" s="3" t="inlineStr">
        <is>
          <t>構築方式</t>
        </is>
      </c>
      <c r="B11" s="4" t="n"/>
    </row>
    <row r="12">
      <c r="A12" s="3" t="inlineStr">
        <is>
          <t>何台目</t>
        </is>
      </c>
      <c r="B12" s="4" t="n"/>
    </row>
    <row r="13">
      <c r="A13" s="3" t="inlineStr">
        <is>
          <t>作業期間</t>
        </is>
      </c>
      <c r="B13" s="4" t="n"/>
    </row>
    <row r="14">
      <c r="A14" s="3" t="inlineStr">
        <is>
          <t>Ansible の経験</t>
        </is>
      </c>
      <c r="B14" s="4" t="n"/>
    </row>
    <row r="15">
      <c r="A15" s="3" t="inlineStr">
        <is>
          <t>Playbook 実行回数</t>
        </is>
      </c>
      <c r="B15" s="4" t="n"/>
    </row>
    <row r="16">
      <c r="A16" s="3" t="inlineStr">
        <is>
          <t>突合せ項目数（99_verify）</t>
        </is>
      </c>
      <c r="B16" s="4" t="n"/>
    </row>
    <row r="17">
      <c r="A17" s="3" t="inlineStr">
        <is>
          <t>突合せ一致数（99_verify）</t>
        </is>
      </c>
      <c r="B17" s="4" t="n"/>
    </row>
    <row r="18">
      <c r="A18" s="3" t="inlineStr">
        <is>
          <t>備考（対象外作業の時間など）</t>
        </is>
      </c>
      <c r="B18" s="4" t="n"/>
    </row>
    <row r="20">
      <c r="A20" s="1" t="inlineStr">
        <is>
          <t>工数の集計（分）</t>
        </is>
      </c>
    </row>
    <row r="21">
      <c r="A21" s="5" t="inlineStr">
        <is>
          <t>作業区分</t>
        </is>
      </c>
      <c r="B21" s="5" t="inlineStr">
        <is>
          <t>作業時間</t>
        </is>
      </c>
      <c r="C21" s="5" t="inlineStr">
        <is>
          <t>待ち時間</t>
        </is>
      </c>
      <c r="D21" s="5" t="inlineStr">
        <is>
          <t>合計</t>
        </is>
      </c>
      <c r="E21" s="5" t="inlineStr">
        <is>
          <t>件数</t>
        </is>
      </c>
    </row>
    <row r="22">
      <c r="A22" s="6" t="inlineStr">
        <is>
          <t>設計書の読み解き</t>
        </is>
      </c>
      <c r="B22" s="7">
        <f>SUMIF(工数!$E$4:$E$63,A22,工数!$G$4:$G$63)</f>
        <v/>
      </c>
      <c r="C22" s="7">
        <f>SUMIF(工数!$E$4:$E$63,A22,工数!$H$4:$H$63)</f>
        <v/>
      </c>
      <c r="D22" s="7">
        <f>B22+C22</f>
        <v/>
      </c>
      <c r="E22" s="7">
        <f>COUNTIF(工数!$E$4:$E$63,A22)</f>
        <v/>
      </c>
    </row>
    <row r="23">
      <c r="A23" s="6" t="inlineStr">
        <is>
          <t>変数化</t>
        </is>
      </c>
      <c r="B23" s="7">
        <f>SUMIF(工数!$E$4:$E$63,A23,工数!$G$4:$G$63)</f>
        <v/>
      </c>
      <c r="C23" s="7">
        <f>SUMIF(工数!$E$4:$E$63,A23,工数!$H$4:$H$63)</f>
        <v/>
      </c>
      <c r="D23" s="7">
        <f>B23+C23</f>
        <v/>
      </c>
      <c r="E23" s="7">
        <f>COUNTIF(工数!$E$4:$E$63,A23)</f>
        <v/>
      </c>
    </row>
    <row r="24">
      <c r="A24" s="6" t="inlineStr">
        <is>
          <t>コード修正</t>
        </is>
      </c>
      <c r="B24" s="7">
        <f>SUMIF(工数!$E$4:$E$63,A24,工数!$G$4:$G$63)</f>
        <v/>
      </c>
      <c r="C24" s="7">
        <f>SUMIF(工数!$E$4:$E$63,A24,工数!$H$4:$H$63)</f>
        <v/>
      </c>
      <c r="D24" s="7">
        <f>B24+C24</f>
        <v/>
      </c>
      <c r="E24" s="7">
        <f>COUNTIF(工数!$E$4:$E$63,A24)</f>
        <v/>
      </c>
    </row>
    <row r="25">
      <c r="A25" s="6" t="inlineStr">
        <is>
          <t>実行</t>
        </is>
      </c>
      <c r="B25" s="7">
        <f>SUMIF(工数!$E$4:$E$63,A25,工数!$G$4:$G$63)</f>
        <v/>
      </c>
      <c r="C25" s="7">
        <f>SUMIF(工数!$E$4:$E$63,A25,工数!$H$4:$H$63)</f>
        <v/>
      </c>
      <c r="D25" s="7">
        <f>B25+C25</f>
        <v/>
      </c>
      <c r="E25" s="7">
        <f>COUNTIF(工数!$E$4:$E$63,A25)</f>
        <v/>
      </c>
    </row>
    <row r="26">
      <c r="A26" s="6" t="inlineStr">
        <is>
          <t>確認</t>
        </is>
      </c>
      <c r="B26" s="7">
        <f>SUMIF(工数!$E$4:$E$63,A26,工数!$G$4:$G$63)</f>
        <v/>
      </c>
      <c r="C26" s="7">
        <f>SUMIF(工数!$E$4:$E$63,A26,工数!$H$4:$H$63)</f>
        <v/>
      </c>
      <c r="D26" s="7">
        <f>B26+C26</f>
        <v/>
      </c>
      <c r="E26" s="7">
        <f>COUNTIF(工数!$E$4:$E$63,A26)</f>
        <v/>
      </c>
    </row>
    <row r="27">
      <c r="A27" s="6" t="inlineStr">
        <is>
          <t>手戻り</t>
        </is>
      </c>
      <c r="B27" s="7">
        <f>SUMIF(工数!$E$4:$E$63,A27,工数!$G$4:$G$63)</f>
        <v/>
      </c>
      <c r="C27" s="7">
        <f>SUMIF(工数!$E$4:$E$63,A27,工数!$H$4:$H$63)</f>
        <v/>
      </c>
      <c r="D27" s="7">
        <f>B27+C27</f>
        <v/>
      </c>
      <c r="E27" s="7">
        <f>COUNTIF(工数!$E$4:$E$63,A27)</f>
        <v/>
      </c>
    </row>
    <row r="28">
      <c r="A28" s="8" t="inlineStr">
        <is>
          <t>合計</t>
        </is>
      </c>
      <c r="B28" s="7">
        <f>SUM(B22:B27)</f>
        <v/>
      </c>
      <c r="C28" s="7">
        <f>SUM(C22:C27)</f>
        <v/>
      </c>
      <c r="D28" s="7">
        <f>SUM(D22:D27)</f>
        <v/>
      </c>
      <c r="E28" s="7">
        <f>SUM(E22:E27)</f>
        <v/>
      </c>
    </row>
    <row r="29">
      <c r="A29" s="6" t="inlineStr">
        <is>
          <t>手戻り率（手戻り ÷ 作業時間の合計）</t>
        </is>
      </c>
      <c r="B29" s="9">
        <f>IF(B28=0,"",B27/B28)</f>
        <v/>
      </c>
    </row>
    <row r="31">
      <c r="A31" s="1" t="inlineStr">
        <is>
          <t>設計項目の結果（件）</t>
        </is>
      </c>
    </row>
    <row r="32">
      <c r="A32" s="6" t="inlineStr">
        <is>
          <t>◎</t>
        </is>
      </c>
      <c r="B32" s="7">
        <f>COUNTIF(設計項目別結果!$F$4:$F$52,A32)</f>
        <v/>
      </c>
    </row>
    <row r="33">
      <c r="A33" s="6" t="inlineStr">
        <is>
          <t>○</t>
        </is>
      </c>
      <c r="B33" s="7">
        <f>COUNTIF(設計項目別結果!$F$4:$F$52,A33)</f>
        <v/>
      </c>
    </row>
    <row r="34">
      <c r="A34" s="6" t="inlineStr">
        <is>
          <t>△</t>
        </is>
      </c>
      <c r="B34" s="7">
        <f>COUNTIF(設計項目別結果!$F$4:$F$52,A34)</f>
        <v/>
      </c>
    </row>
    <row r="35">
      <c r="A35" s="6" t="inlineStr">
        <is>
          <t>×</t>
        </is>
      </c>
      <c r="B35" s="7">
        <f>COUNTIF(設計項目別結果!$F$4:$F$52,A35)</f>
        <v/>
      </c>
    </row>
    <row r="36">
      <c r="A36" s="6" t="inlineStr">
        <is>
          <t>−</t>
        </is>
      </c>
      <c r="B36" s="7">
        <f>COUNTIF(設計項目別結果!$F$4:$F$52,A36)</f>
        <v/>
      </c>
    </row>
    <row r="38">
      <c r="A38" s="1" t="inlineStr">
        <is>
          <t>設計項目の構築方法（件）</t>
        </is>
      </c>
    </row>
    <row r="39">
      <c r="A39" s="6" t="inlineStr">
        <is>
          <t>変数のみ</t>
        </is>
      </c>
      <c r="B39" s="7">
        <f>COUNTIF(設計項目別結果!$G$4:$G$52,A39)</f>
        <v/>
      </c>
    </row>
    <row r="40">
      <c r="A40" s="6" t="inlineStr">
        <is>
          <t>ロール修正</t>
        </is>
      </c>
      <c r="B40" s="7">
        <f>COUNTIF(設計項目別結果!$G$4:$G$52,A40)</f>
        <v/>
      </c>
    </row>
    <row r="41">
      <c r="A41" s="6" t="inlineStr">
        <is>
          <t>新規ロール</t>
        </is>
      </c>
      <c r="B41" s="7">
        <f>COUNTIF(設計項目別結果!$G$4:$G$52,A41)</f>
        <v/>
      </c>
    </row>
    <row r="42">
      <c r="A42" s="6" t="inlineStr">
        <is>
          <t>手動</t>
        </is>
      </c>
      <c r="B42" s="7">
        <f>COUNTIF(設計項目別結果!$G$4:$G$52,A42)</f>
        <v/>
      </c>
    </row>
    <row r="43">
      <c r="A43" s="6" t="inlineStr">
        <is>
          <t>クラウド側</t>
        </is>
      </c>
      <c r="B43" s="7">
        <f>COUNTIF(設計項目別結果!$G$4:$G$52,A43)</f>
        <v/>
      </c>
    </row>
    <row r="44">
      <c r="A44" s="6" t="inlineStr">
        <is>
          <t>対象外</t>
        </is>
      </c>
      <c r="B44" s="7">
        <f>COUNTIF(設計項目別結果!$G$4:$G$52,A44)</f>
        <v/>
      </c>
    </row>
    <row r="46">
      <c r="A46" s="1" t="inlineStr">
        <is>
          <t>差分・修正の区分（件）</t>
        </is>
      </c>
    </row>
    <row r="47">
      <c r="A47" s="6" t="inlineStr">
        <is>
          <t>変数のみ</t>
        </is>
      </c>
      <c r="B47" s="7">
        <f>COUNTIF(差分・修正!$D$4:$D$63,A47)</f>
        <v/>
      </c>
    </row>
    <row r="48">
      <c r="A48" s="6" t="inlineStr">
        <is>
          <t>ロール修正</t>
        </is>
      </c>
      <c r="B48" s="7">
        <f>COUNTIF(差分・修正!$D$4:$D$63,A48)</f>
        <v/>
      </c>
    </row>
    <row r="49">
      <c r="A49" s="6" t="inlineStr">
        <is>
          <t>新規ロール</t>
        </is>
      </c>
      <c r="B49" s="7">
        <f>COUNTIF(差分・修正!$D$4:$D$63,A49)</f>
        <v/>
      </c>
    </row>
    <row r="50">
      <c r="A50" s="6" t="inlineStr">
        <is>
          <t>設計書要確認</t>
        </is>
      </c>
      <c r="B50" s="7">
        <f>COUNTIF(差分・修正!$D$4:$D$63,A50)</f>
        <v/>
      </c>
    </row>
  </sheetData>
  <dataValidations count="4">
    <dataValidation sqref="B10" showDropDown="0" showInputMessage="0" showErrorMessage="0" allowBlank="1" errorTitle="入力値" error="一覧から選んでください" type="list">
      <formula1>"Azure,AWS,オンプレミス,その他"</formula1>
    </dataValidation>
    <dataValidation sqref="B11" showDropDown="0" showInputMessage="0" showErrorMessage="0" allowBlank="1" errorTitle="入力値" error="一覧から選んでください" type="list">
      <formula1>"Ansible（既存資産の流用）,Ansible（AIで一から生成）,Ansible（その他）,手動"</formula1>
    </dataValidation>
    <dataValidation sqref="B12" showDropDown="0" showInputMessage="0" showErrorMessage="0" allowBlank="1" errorTitle="入力値" error="一覧から選んでください" type="list">
      <formula1>"1台目,2台目,3台目以降"</formula1>
    </dataValidation>
    <dataValidation sqref="B14" showDropDown="0" showInputMessage="0" showErrorMessage="0" allowBlank="1" errorTitle="入力値" error="一覧から選んでください" type="list">
      <formula1>"なし,少し,あり"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8" customWidth="1" min="4" max="4"/>
    <col width="16" customWidth="1" min="5" max="5"/>
    <col width="9" customWidth="1" min="6" max="6"/>
    <col width="11" customWidth="1" min="7" max="7"/>
    <col width="11" customWidth="1" min="8" max="8"/>
    <col width="44" customWidth="1" min="9" max="9"/>
    <col width="30" customWidth="1" min="10" max="10"/>
  </cols>
  <sheetData>
    <row r="1">
      <c r="A1" s="1" t="inlineStr">
        <is>
          <t>工数</t>
        </is>
      </c>
    </row>
    <row r="2">
      <c r="A2" s="2" t="inlineStr">
        <is>
          <t>1 作業 1 行。作業区分は 6 つから選ぶ。手戻りは初回の作業と分けて記録する。経過は開始・終了から自動計算。</t>
        </is>
      </c>
    </row>
    <row r="3">
      <c r="A3" s="3" t="inlineStr">
        <is>
          <t>No</t>
        </is>
      </c>
      <c r="B3" s="3" t="inlineStr">
        <is>
          <t>日付</t>
        </is>
      </c>
      <c r="C3" s="3" t="inlineStr">
        <is>
          <t>開始</t>
        </is>
      </c>
      <c r="D3" s="3" t="inlineStr">
        <is>
          <t>終了</t>
        </is>
      </c>
      <c r="E3" s="3" t="inlineStr">
        <is>
          <t>作業区分</t>
        </is>
      </c>
      <c r="F3" s="3" t="inlineStr">
        <is>
          <t>経過(分)</t>
        </is>
      </c>
      <c r="G3" s="3" t="inlineStr">
        <is>
          <t>作業時間(分)</t>
        </is>
      </c>
      <c r="H3" s="3" t="inlineStr">
        <is>
          <t>待ち時間(分)</t>
        </is>
      </c>
      <c r="I3" s="3" t="inlineStr">
        <is>
          <t>内容</t>
        </is>
      </c>
      <c r="J3" s="3" t="inlineStr">
        <is>
          <t>備考</t>
        </is>
      </c>
    </row>
    <row r="4">
      <c r="A4" s="10" t="n">
        <v>1</v>
      </c>
      <c r="B4" s="11" t="n"/>
      <c r="C4" s="12" t="n"/>
      <c r="D4" s="12" t="n"/>
      <c r="E4" s="4" t="n"/>
      <c r="F4" s="13">
        <f>IF(OR(C4="",D4=""),"",ROUND(MOD(D4-C4,1)*1440,0))</f>
        <v/>
      </c>
      <c r="G4" s="4" t="n"/>
      <c r="H4" s="4" t="n"/>
      <c r="I4" s="4" t="n"/>
      <c r="J4" s="4" t="n"/>
    </row>
    <row r="5">
      <c r="A5" s="10" t="n">
        <v>2</v>
      </c>
      <c r="B5" s="11" t="n"/>
      <c r="C5" s="12" t="n"/>
      <c r="D5" s="12" t="n"/>
      <c r="E5" s="4" t="n"/>
      <c r="F5" s="13">
        <f>IF(OR(C5="",D5=""),"",ROUND(MOD(D5-C5,1)*1440,0))</f>
        <v/>
      </c>
      <c r="G5" s="4" t="n"/>
      <c r="H5" s="4" t="n"/>
      <c r="I5" s="4" t="n"/>
      <c r="J5" s="4" t="n"/>
    </row>
    <row r="6">
      <c r="A6" s="10" t="n">
        <v>3</v>
      </c>
      <c r="B6" s="11" t="n"/>
      <c r="C6" s="12" t="n"/>
      <c r="D6" s="12" t="n"/>
      <c r="E6" s="4" t="n"/>
      <c r="F6" s="13">
        <f>IF(OR(C6="",D6=""),"",ROUND(MOD(D6-C6,1)*1440,0))</f>
        <v/>
      </c>
      <c r="G6" s="4" t="n"/>
      <c r="H6" s="4" t="n"/>
      <c r="I6" s="4" t="n"/>
      <c r="J6" s="4" t="n"/>
    </row>
    <row r="7">
      <c r="A7" s="10" t="n">
        <v>4</v>
      </c>
      <c r="B7" s="11" t="n"/>
      <c r="C7" s="12" t="n"/>
      <c r="D7" s="12" t="n"/>
      <c r="E7" s="4" t="n"/>
      <c r="F7" s="13">
        <f>IF(OR(C7="",D7=""),"",ROUND(MOD(D7-C7,1)*1440,0))</f>
        <v/>
      </c>
      <c r="G7" s="4" t="n"/>
      <c r="H7" s="4" t="n"/>
      <c r="I7" s="4" t="n"/>
      <c r="J7" s="4" t="n"/>
    </row>
    <row r="8">
      <c r="A8" s="10" t="n">
        <v>5</v>
      </c>
      <c r="B8" s="11" t="n"/>
      <c r="C8" s="12" t="n"/>
      <c r="D8" s="12" t="n"/>
      <c r="E8" s="4" t="n"/>
      <c r="F8" s="13">
        <f>IF(OR(C8="",D8=""),"",ROUND(MOD(D8-C8,1)*1440,0))</f>
        <v/>
      </c>
      <c r="G8" s="4" t="n"/>
      <c r="H8" s="4" t="n"/>
      <c r="I8" s="4" t="n"/>
      <c r="J8" s="4" t="n"/>
    </row>
    <row r="9">
      <c r="A9" s="10" t="n">
        <v>6</v>
      </c>
      <c r="B9" s="11" t="n"/>
      <c r="C9" s="12" t="n"/>
      <c r="D9" s="12" t="n"/>
      <c r="E9" s="4" t="n"/>
      <c r="F9" s="13">
        <f>IF(OR(C9="",D9=""),"",ROUND(MOD(D9-C9,1)*1440,0))</f>
        <v/>
      </c>
      <c r="G9" s="4" t="n"/>
      <c r="H9" s="4" t="n"/>
      <c r="I9" s="4" t="n"/>
      <c r="J9" s="4" t="n"/>
    </row>
    <row r="10">
      <c r="A10" s="10" t="n">
        <v>7</v>
      </c>
      <c r="B10" s="11" t="n"/>
      <c r="C10" s="12" t="n"/>
      <c r="D10" s="12" t="n"/>
      <c r="E10" s="4" t="n"/>
      <c r="F10" s="13">
        <f>IF(OR(C10="",D10=""),"",ROUND(MOD(D10-C10,1)*1440,0))</f>
        <v/>
      </c>
      <c r="G10" s="4" t="n"/>
      <c r="H10" s="4" t="n"/>
      <c r="I10" s="4" t="n"/>
      <c r="J10" s="4" t="n"/>
    </row>
    <row r="11">
      <c r="A11" s="10" t="n">
        <v>8</v>
      </c>
      <c r="B11" s="11" t="n"/>
      <c r="C11" s="12" t="n"/>
      <c r="D11" s="12" t="n"/>
      <c r="E11" s="4" t="n"/>
      <c r="F11" s="13">
        <f>IF(OR(C11="",D11=""),"",ROUND(MOD(D11-C11,1)*1440,0))</f>
        <v/>
      </c>
      <c r="G11" s="4" t="n"/>
      <c r="H11" s="4" t="n"/>
      <c r="I11" s="4" t="n"/>
      <c r="J11" s="4" t="n"/>
    </row>
    <row r="12">
      <c r="A12" s="10" t="n">
        <v>9</v>
      </c>
      <c r="B12" s="11" t="n"/>
      <c r="C12" s="12" t="n"/>
      <c r="D12" s="12" t="n"/>
      <c r="E12" s="4" t="n"/>
      <c r="F12" s="13">
        <f>IF(OR(C12="",D12=""),"",ROUND(MOD(D12-C12,1)*1440,0))</f>
        <v/>
      </c>
      <c r="G12" s="4" t="n"/>
      <c r="H12" s="4" t="n"/>
      <c r="I12" s="4" t="n"/>
      <c r="J12" s="4" t="n"/>
    </row>
    <row r="13">
      <c r="A13" s="10" t="n">
        <v>10</v>
      </c>
      <c r="B13" s="11" t="n"/>
      <c r="C13" s="12" t="n"/>
      <c r="D13" s="12" t="n"/>
      <c r="E13" s="4" t="n"/>
      <c r="F13" s="13">
        <f>IF(OR(C13="",D13=""),"",ROUND(MOD(D13-C13,1)*1440,0))</f>
        <v/>
      </c>
      <c r="G13" s="4" t="n"/>
      <c r="H13" s="4" t="n"/>
      <c r="I13" s="4" t="n"/>
      <c r="J13" s="4" t="n"/>
    </row>
    <row r="14">
      <c r="A14" s="10" t="n">
        <v>11</v>
      </c>
      <c r="B14" s="11" t="n"/>
      <c r="C14" s="12" t="n"/>
      <c r="D14" s="12" t="n"/>
      <c r="E14" s="4" t="n"/>
      <c r="F14" s="13">
        <f>IF(OR(C14="",D14=""),"",ROUND(MOD(D14-C14,1)*1440,0))</f>
        <v/>
      </c>
      <c r="G14" s="4" t="n"/>
      <c r="H14" s="4" t="n"/>
      <c r="I14" s="4" t="n"/>
      <c r="J14" s="4" t="n"/>
    </row>
    <row r="15">
      <c r="A15" s="10" t="n">
        <v>12</v>
      </c>
      <c r="B15" s="11" t="n"/>
      <c r="C15" s="12" t="n"/>
      <c r="D15" s="12" t="n"/>
      <c r="E15" s="4" t="n"/>
      <c r="F15" s="13">
        <f>IF(OR(C15="",D15=""),"",ROUND(MOD(D15-C15,1)*1440,0))</f>
        <v/>
      </c>
      <c r="G15" s="4" t="n"/>
      <c r="H15" s="4" t="n"/>
      <c r="I15" s="4" t="n"/>
      <c r="J15" s="4" t="n"/>
    </row>
    <row r="16">
      <c r="A16" s="10" t="n">
        <v>13</v>
      </c>
      <c r="B16" s="11" t="n"/>
      <c r="C16" s="12" t="n"/>
      <c r="D16" s="12" t="n"/>
      <c r="E16" s="4" t="n"/>
      <c r="F16" s="13">
        <f>IF(OR(C16="",D16=""),"",ROUND(MOD(D16-C16,1)*1440,0))</f>
        <v/>
      </c>
      <c r="G16" s="4" t="n"/>
      <c r="H16" s="4" t="n"/>
      <c r="I16" s="4" t="n"/>
      <c r="J16" s="4" t="n"/>
    </row>
    <row r="17">
      <c r="A17" s="10" t="n">
        <v>14</v>
      </c>
      <c r="B17" s="11" t="n"/>
      <c r="C17" s="12" t="n"/>
      <c r="D17" s="12" t="n"/>
      <c r="E17" s="4" t="n"/>
      <c r="F17" s="13">
        <f>IF(OR(C17="",D17=""),"",ROUND(MOD(D17-C17,1)*1440,0))</f>
        <v/>
      </c>
      <c r="G17" s="4" t="n"/>
      <c r="H17" s="4" t="n"/>
      <c r="I17" s="4" t="n"/>
      <c r="J17" s="4" t="n"/>
    </row>
    <row r="18">
      <c r="A18" s="10" t="n">
        <v>15</v>
      </c>
      <c r="B18" s="11" t="n"/>
      <c r="C18" s="12" t="n"/>
      <c r="D18" s="12" t="n"/>
      <c r="E18" s="4" t="n"/>
      <c r="F18" s="13">
        <f>IF(OR(C18="",D18=""),"",ROUND(MOD(D18-C18,1)*1440,0))</f>
        <v/>
      </c>
      <c r="G18" s="4" t="n"/>
      <c r="H18" s="4" t="n"/>
      <c r="I18" s="4" t="n"/>
      <c r="J18" s="4" t="n"/>
    </row>
    <row r="19">
      <c r="A19" s="10" t="n">
        <v>16</v>
      </c>
      <c r="B19" s="11" t="n"/>
      <c r="C19" s="12" t="n"/>
      <c r="D19" s="12" t="n"/>
      <c r="E19" s="4" t="n"/>
      <c r="F19" s="13">
        <f>IF(OR(C19="",D19=""),"",ROUND(MOD(D19-C19,1)*1440,0))</f>
        <v/>
      </c>
      <c r="G19" s="4" t="n"/>
      <c r="H19" s="4" t="n"/>
      <c r="I19" s="4" t="n"/>
      <c r="J19" s="4" t="n"/>
    </row>
    <row r="20">
      <c r="A20" s="10" t="n">
        <v>17</v>
      </c>
      <c r="B20" s="11" t="n"/>
      <c r="C20" s="12" t="n"/>
      <c r="D20" s="12" t="n"/>
      <c r="E20" s="4" t="n"/>
      <c r="F20" s="13">
        <f>IF(OR(C20="",D20=""),"",ROUND(MOD(D20-C20,1)*1440,0))</f>
        <v/>
      </c>
      <c r="G20" s="4" t="n"/>
      <c r="H20" s="4" t="n"/>
      <c r="I20" s="4" t="n"/>
      <c r="J20" s="4" t="n"/>
    </row>
    <row r="21">
      <c r="A21" s="10" t="n">
        <v>18</v>
      </c>
      <c r="B21" s="11" t="n"/>
      <c r="C21" s="12" t="n"/>
      <c r="D21" s="12" t="n"/>
      <c r="E21" s="4" t="n"/>
      <c r="F21" s="13">
        <f>IF(OR(C21="",D21=""),"",ROUND(MOD(D21-C21,1)*1440,0))</f>
        <v/>
      </c>
      <c r="G21" s="4" t="n"/>
      <c r="H21" s="4" t="n"/>
      <c r="I21" s="4" t="n"/>
      <c r="J21" s="4" t="n"/>
    </row>
    <row r="22">
      <c r="A22" s="10" t="n">
        <v>19</v>
      </c>
      <c r="B22" s="11" t="n"/>
      <c r="C22" s="12" t="n"/>
      <c r="D22" s="12" t="n"/>
      <c r="E22" s="4" t="n"/>
      <c r="F22" s="13">
        <f>IF(OR(C22="",D22=""),"",ROUND(MOD(D22-C22,1)*1440,0))</f>
        <v/>
      </c>
      <c r="G22" s="4" t="n"/>
      <c r="H22" s="4" t="n"/>
      <c r="I22" s="4" t="n"/>
      <c r="J22" s="4" t="n"/>
    </row>
    <row r="23">
      <c r="A23" s="10" t="n">
        <v>20</v>
      </c>
      <c r="B23" s="11" t="n"/>
      <c r="C23" s="12" t="n"/>
      <c r="D23" s="12" t="n"/>
      <c r="E23" s="4" t="n"/>
      <c r="F23" s="13">
        <f>IF(OR(C23="",D23=""),"",ROUND(MOD(D23-C23,1)*1440,0))</f>
        <v/>
      </c>
      <c r="G23" s="4" t="n"/>
      <c r="H23" s="4" t="n"/>
      <c r="I23" s="4" t="n"/>
      <c r="J23" s="4" t="n"/>
    </row>
    <row r="24">
      <c r="A24" s="10" t="n">
        <v>21</v>
      </c>
      <c r="B24" s="11" t="n"/>
      <c r="C24" s="12" t="n"/>
      <c r="D24" s="12" t="n"/>
      <c r="E24" s="4" t="n"/>
      <c r="F24" s="13">
        <f>IF(OR(C24="",D24=""),"",ROUND(MOD(D24-C24,1)*1440,0))</f>
        <v/>
      </c>
      <c r="G24" s="4" t="n"/>
      <c r="H24" s="4" t="n"/>
      <c r="I24" s="4" t="n"/>
      <c r="J24" s="4" t="n"/>
    </row>
    <row r="25">
      <c r="A25" s="10" t="n">
        <v>22</v>
      </c>
      <c r="B25" s="11" t="n"/>
      <c r="C25" s="12" t="n"/>
      <c r="D25" s="12" t="n"/>
      <c r="E25" s="4" t="n"/>
      <c r="F25" s="13">
        <f>IF(OR(C25="",D25=""),"",ROUND(MOD(D25-C25,1)*1440,0))</f>
        <v/>
      </c>
      <c r="G25" s="4" t="n"/>
      <c r="H25" s="4" t="n"/>
      <c r="I25" s="4" t="n"/>
      <c r="J25" s="4" t="n"/>
    </row>
    <row r="26">
      <c r="A26" s="10" t="n">
        <v>23</v>
      </c>
      <c r="B26" s="11" t="n"/>
      <c r="C26" s="12" t="n"/>
      <c r="D26" s="12" t="n"/>
      <c r="E26" s="4" t="n"/>
      <c r="F26" s="13">
        <f>IF(OR(C26="",D26=""),"",ROUND(MOD(D26-C26,1)*1440,0))</f>
        <v/>
      </c>
      <c r="G26" s="4" t="n"/>
      <c r="H26" s="4" t="n"/>
      <c r="I26" s="4" t="n"/>
      <c r="J26" s="4" t="n"/>
    </row>
    <row r="27">
      <c r="A27" s="10" t="n">
        <v>24</v>
      </c>
      <c r="B27" s="11" t="n"/>
      <c r="C27" s="12" t="n"/>
      <c r="D27" s="12" t="n"/>
      <c r="E27" s="4" t="n"/>
      <c r="F27" s="13">
        <f>IF(OR(C27="",D27=""),"",ROUND(MOD(D27-C27,1)*1440,0))</f>
        <v/>
      </c>
      <c r="G27" s="4" t="n"/>
      <c r="H27" s="4" t="n"/>
      <c r="I27" s="4" t="n"/>
      <c r="J27" s="4" t="n"/>
    </row>
    <row r="28">
      <c r="A28" s="10" t="n">
        <v>25</v>
      </c>
      <c r="B28" s="11" t="n"/>
      <c r="C28" s="12" t="n"/>
      <c r="D28" s="12" t="n"/>
      <c r="E28" s="4" t="n"/>
      <c r="F28" s="13">
        <f>IF(OR(C28="",D28=""),"",ROUND(MOD(D28-C28,1)*1440,0))</f>
        <v/>
      </c>
      <c r="G28" s="4" t="n"/>
      <c r="H28" s="4" t="n"/>
      <c r="I28" s="4" t="n"/>
      <c r="J28" s="4" t="n"/>
    </row>
    <row r="29">
      <c r="A29" s="10" t="n">
        <v>26</v>
      </c>
      <c r="B29" s="11" t="n"/>
      <c r="C29" s="12" t="n"/>
      <c r="D29" s="12" t="n"/>
      <c r="E29" s="4" t="n"/>
      <c r="F29" s="13">
        <f>IF(OR(C29="",D29=""),"",ROUND(MOD(D29-C29,1)*1440,0))</f>
        <v/>
      </c>
      <c r="G29" s="4" t="n"/>
      <c r="H29" s="4" t="n"/>
      <c r="I29" s="4" t="n"/>
      <c r="J29" s="4" t="n"/>
    </row>
    <row r="30">
      <c r="A30" s="10" t="n">
        <v>27</v>
      </c>
      <c r="B30" s="11" t="n"/>
      <c r="C30" s="12" t="n"/>
      <c r="D30" s="12" t="n"/>
      <c r="E30" s="4" t="n"/>
      <c r="F30" s="13">
        <f>IF(OR(C30="",D30=""),"",ROUND(MOD(D30-C30,1)*1440,0))</f>
        <v/>
      </c>
      <c r="G30" s="4" t="n"/>
      <c r="H30" s="4" t="n"/>
      <c r="I30" s="4" t="n"/>
      <c r="J30" s="4" t="n"/>
    </row>
    <row r="31">
      <c r="A31" s="10" t="n">
        <v>28</v>
      </c>
      <c r="B31" s="11" t="n"/>
      <c r="C31" s="12" t="n"/>
      <c r="D31" s="12" t="n"/>
      <c r="E31" s="4" t="n"/>
      <c r="F31" s="13">
        <f>IF(OR(C31="",D31=""),"",ROUND(MOD(D31-C31,1)*1440,0))</f>
        <v/>
      </c>
      <c r="G31" s="4" t="n"/>
      <c r="H31" s="4" t="n"/>
      <c r="I31" s="4" t="n"/>
      <c r="J31" s="4" t="n"/>
    </row>
    <row r="32">
      <c r="A32" s="10" t="n">
        <v>29</v>
      </c>
      <c r="B32" s="11" t="n"/>
      <c r="C32" s="12" t="n"/>
      <c r="D32" s="12" t="n"/>
      <c r="E32" s="4" t="n"/>
      <c r="F32" s="13">
        <f>IF(OR(C32="",D32=""),"",ROUND(MOD(D32-C32,1)*1440,0))</f>
        <v/>
      </c>
      <c r="G32" s="4" t="n"/>
      <c r="H32" s="4" t="n"/>
      <c r="I32" s="4" t="n"/>
      <c r="J32" s="4" t="n"/>
    </row>
    <row r="33">
      <c r="A33" s="10" t="n">
        <v>30</v>
      </c>
      <c r="B33" s="11" t="n"/>
      <c r="C33" s="12" t="n"/>
      <c r="D33" s="12" t="n"/>
      <c r="E33" s="4" t="n"/>
      <c r="F33" s="13">
        <f>IF(OR(C33="",D33=""),"",ROUND(MOD(D33-C33,1)*1440,0))</f>
        <v/>
      </c>
      <c r="G33" s="4" t="n"/>
      <c r="H33" s="4" t="n"/>
      <c r="I33" s="4" t="n"/>
      <c r="J33" s="4" t="n"/>
    </row>
    <row r="34">
      <c r="A34" s="10" t="n">
        <v>31</v>
      </c>
      <c r="B34" s="11" t="n"/>
      <c r="C34" s="12" t="n"/>
      <c r="D34" s="12" t="n"/>
      <c r="E34" s="4" t="n"/>
      <c r="F34" s="13">
        <f>IF(OR(C34="",D34=""),"",ROUND(MOD(D34-C34,1)*1440,0))</f>
        <v/>
      </c>
      <c r="G34" s="4" t="n"/>
      <c r="H34" s="4" t="n"/>
      <c r="I34" s="4" t="n"/>
      <c r="J34" s="4" t="n"/>
    </row>
    <row r="35">
      <c r="A35" s="10" t="n">
        <v>32</v>
      </c>
      <c r="B35" s="11" t="n"/>
      <c r="C35" s="12" t="n"/>
      <c r="D35" s="12" t="n"/>
      <c r="E35" s="4" t="n"/>
      <c r="F35" s="13">
        <f>IF(OR(C35="",D35=""),"",ROUND(MOD(D35-C35,1)*1440,0))</f>
        <v/>
      </c>
      <c r="G35" s="4" t="n"/>
      <c r="H35" s="4" t="n"/>
      <c r="I35" s="4" t="n"/>
      <c r="J35" s="4" t="n"/>
    </row>
    <row r="36">
      <c r="A36" s="10" t="n">
        <v>33</v>
      </c>
      <c r="B36" s="11" t="n"/>
      <c r="C36" s="12" t="n"/>
      <c r="D36" s="12" t="n"/>
      <c r="E36" s="4" t="n"/>
      <c r="F36" s="13">
        <f>IF(OR(C36="",D36=""),"",ROUND(MOD(D36-C36,1)*1440,0))</f>
        <v/>
      </c>
      <c r="G36" s="4" t="n"/>
      <c r="H36" s="4" t="n"/>
      <c r="I36" s="4" t="n"/>
      <c r="J36" s="4" t="n"/>
    </row>
    <row r="37">
      <c r="A37" s="10" t="n">
        <v>34</v>
      </c>
      <c r="B37" s="11" t="n"/>
      <c r="C37" s="12" t="n"/>
      <c r="D37" s="12" t="n"/>
      <c r="E37" s="4" t="n"/>
      <c r="F37" s="13">
        <f>IF(OR(C37="",D37=""),"",ROUND(MOD(D37-C37,1)*1440,0))</f>
        <v/>
      </c>
      <c r="G37" s="4" t="n"/>
      <c r="H37" s="4" t="n"/>
      <c r="I37" s="4" t="n"/>
      <c r="J37" s="4" t="n"/>
    </row>
    <row r="38">
      <c r="A38" s="10" t="n">
        <v>35</v>
      </c>
      <c r="B38" s="11" t="n"/>
      <c r="C38" s="12" t="n"/>
      <c r="D38" s="12" t="n"/>
      <c r="E38" s="4" t="n"/>
      <c r="F38" s="13">
        <f>IF(OR(C38="",D38=""),"",ROUND(MOD(D38-C38,1)*1440,0))</f>
        <v/>
      </c>
      <c r="G38" s="4" t="n"/>
      <c r="H38" s="4" t="n"/>
      <c r="I38" s="4" t="n"/>
      <c r="J38" s="4" t="n"/>
    </row>
    <row r="39">
      <c r="A39" s="10" t="n">
        <v>36</v>
      </c>
      <c r="B39" s="11" t="n"/>
      <c r="C39" s="12" t="n"/>
      <c r="D39" s="12" t="n"/>
      <c r="E39" s="4" t="n"/>
      <c r="F39" s="13">
        <f>IF(OR(C39="",D39=""),"",ROUND(MOD(D39-C39,1)*1440,0))</f>
        <v/>
      </c>
      <c r="G39" s="4" t="n"/>
      <c r="H39" s="4" t="n"/>
      <c r="I39" s="4" t="n"/>
      <c r="J39" s="4" t="n"/>
    </row>
    <row r="40">
      <c r="A40" s="10" t="n">
        <v>37</v>
      </c>
      <c r="B40" s="11" t="n"/>
      <c r="C40" s="12" t="n"/>
      <c r="D40" s="12" t="n"/>
      <c r="E40" s="4" t="n"/>
      <c r="F40" s="13">
        <f>IF(OR(C40="",D40=""),"",ROUND(MOD(D40-C40,1)*1440,0))</f>
        <v/>
      </c>
      <c r="G40" s="4" t="n"/>
      <c r="H40" s="4" t="n"/>
      <c r="I40" s="4" t="n"/>
      <c r="J40" s="4" t="n"/>
    </row>
    <row r="41">
      <c r="A41" s="10" t="n">
        <v>38</v>
      </c>
      <c r="B41" s="11" t="n"/>
      <c r="C41" s="12" t="n"/>
      <c r="D41" s="12" t="n"/>
      <c r="E41" s="4" t="n"/>
      <c r="F41" s="13">
        <f>IF(OR(C41="",D41=""),"",ROUND(MOD(D41-C41,1)*1440,0))</f>
        <v/>
      </c>
      <c r="G41" s="4" t="n"/>
      <c r="H41" s="4" t="n"/>
      <c r="I41" s="4" t="n"/>
      <c r="J41" s="4" t="n"/>
    </row>
    <row r="42">
      <c r="A42" s="10" t="n">
        <v>39</v>
      </c>
      <c r="B42" s="11" t="n"/>
      <c r="C42" s="12" t="n"/>
      <c r="D42" s="12" t="n"/>
      <c r="E42" s="4" t="n"/>
      <c r="F42" s="13">
        <f>IF(OR(C42="",D42=""),"",ROUND(MOD(D42-C42,1)*1440,0))</f>
        <v/>
      </c>
      <c r="G42" s="4" t="n"/>
      <c r="H42" s="4" t="n"/>
      <c r="I42" s="4" t="n"/>
      <c r="J42" s="4" t="n"/>
    </row>
    <row r="43">
      <c r="A43" s="10" t="n">
        <v>40</v>
      </c>
      <c r="B43" s="11" t="n"/>
      <c r="C43" s="12" t="n"/>
      <c r="D43" s="12" t="n"/>
      <c r="E43" s="4" t="n"/>
      <c r="F43" s="13">
        <f>IF(OR(C43="",D43=""),"",ROUND(MOD(D43-C43,1)*1440,0))</f>
        <v/>
      </c>
      <c r="G43" s="4" t="n"/>
      <c r="H43" s="4" t="n"/>
      <c r="I43" s="4" t="n"/>
      <c r="J43" s="4" t="n"/>
    </row>
    <row r="44">
      <c r="A44" s="10" t="n">
        <v>41</v>
      </c>
      <c r="B44" s="11" t="n"/>
      <c r="C44" s="12" t="n"/>
      <c r="D44" s="12" t="n"/>
      <c r="E44" s="4" t="n"/>
      <c r="F44" s="13">
        <f>IF(OR(C44="",D44=""),"",ROUND(MOD(D44-C44,1)*1440,0))</f>
        <v/>
      </c>
      <c r="G44" s="4" t="n"/>
      <c r="H44" s="4" t="n"/>
      <c r="I44" s="4" t="n"/>
      <c r="J44" s="4" t="n"/>
    </row>
    <row r="45">
      <c r="A45" s="10" t="n">
        <v>42</v>
      </c>
      <c r="B45" s="11" t="n"/>
      <c r="C45" s="12" t="n"/>
      <c r="D45" s="12" t="n"/>
      <c r="E45" s="4" t="n"/>
      <c r="F45" s="13">
        <f>IF(OR(C45="",D45=""),"",ROUND(MOD(D45-C45,1)*1440,0))</f>
        <v/>
      </c>
      <c r="G45" s="4" t="n"/>
      <c r="H45" s="4" t="n"/>
      <c r="I45" s="4" t="n"/>
      <c r="J45" s="4" t="n"/>
    </row>
    <row r="46">
      <c r="A46" s="10" t="n">
        <v>43</v>
      </c>
      <c r="B46" s="11" t="n"/>
      <c r="C46" s="12" t="n"/>
      <c r="D46" s="12" t="n"/>
      <c r="E46" s="4" t="n"/>
      <c r="F46" s="13">
        <f>IF(OR(C46="",D46=""),"",ROUND(MOD(D46-C46,1)*1440,0))</f>
        <v/>
      </c>
      <c r="G46" s="4" t="n"/>
      <c r="H46" s="4" t="n"/>
      <c r="I46" s="4" t="n"/>
      <c r="J46" s="4" t="n"/>
    </row>
    <row r="47">
      <c r="A47" s="10" t="n">
        <v>44</v>
      </c>
      <c r="B47" s="11" t="n"/>
      <c r="C47" s="12" t="n"/>
      <c r="D47" s="12" t="n"/>
      <c r="E47" s="4" t="n"/>
      <c r="F47" s="13">
        <f>IF(OR(C47="",D47=""),"",ROUND(MOD(D47-C47,1)*1440,0))</f>
        <v/>
      </c>
      <c r="G47" s="4" t="n"/>
      <c r="H47" s="4" t="n"/>
      <c r="I47" s="4" t="n"/>
      <c r="J47" s="4" t="n"/>
    </row>
    <row r="48">
      <c r="A48" s="10" t="n">
        <v>45</v>
      </c>
      <c r="B48" s="11" t="n"/>
      <c r="C48" s="12" t="n"/>
      <c r="D48" s="12" t="n"/>
      <c r="E48" s="4" t="n"/>
      <c r="F48" s="13">
        <f>IF(OR(C48="",D48=""),"",ROUND(MOD(D48-C48,1)*1440,0))</f>
        <v/>
      </c>
      <c r="G48" s="4" t="n"/>
      <c r="H48" s="4" t="n"/>
      <c r="I48" s="4" t="n"/>
      <c r="J48" s="4" t="n"/>
    </row>
    <row r="49">
      <c r="A49" s="10" t="n">
        <v>46</v>
      </c>
      <c r="B49" s="11" t="n"/>
      <c r="C49" s="12" t="n"/>
      <c r="D49" s="12" t="n"/>
      <c r="E49" s="4" t="n"/>
      <c r="F49" s="13">
        <f>IF(OR(C49="",D49=""),"",ROUND(MOD(D49-C49,1)*1440,0))</f>
        <v/>
      </c>
      <c r="G49" s="4" t="n"/>
      <c r="H49" s="4" t="n"/>
      <c r="I49" s="4" t="n"/>
      <c r="J49" s="4" t="n"/>
    </row>
    <row r="50">
      <c r="A50" s="10" t="n">
        <v>47</v>
      </c>
      <c r="B50" s="11" t="n"/>
      <c r="C50" s="12" t="n"/>
      <c r="D50" s="12" t="n"/>
      <c r="E50" s="4" t="n"/>
      <c r="F50" s="13">
        <f>IF(OR(C50="",D50=""),"",ROUND(MOD(D50-C50,1)*1440,0))</f>
        <v/>
      </c>
      <c r="G50" s="4" t="n"/>
      <c r="H50" s="4" t="n"/>
      <c r="I50" s="4" t="n"/>
      <c r="J50" s="4" t="n"/>
    </row>
    <row r="51">
      <c r="A51" s="10" t="n">
        <v>48</v>
      </c>
      <c r="B51" s="11" t="n"/>
      <c r="C51" s="12" t="n"/>
      <c r="D51" s="12" t="n"/>
      <c r="E51" s="4" t="n"/>
      <c r="F51" s="13">
        <f>IF(OR(C51="",D51=""),"",ROUND(MOD(D51-C51,1)*1440,0))</f>
        <v/>
      </c>
      <c r="G51" s="4" t="n"/>
      <c r="H51" s="4" t="n"/>
      <c r="I51" s="4" t="n"/>
      <c r="J51" s="4" t="n"/>
    </row>
    <row r="52">
      <c r="A52" s="10" t="n">
        <v>49</v>
      </c>
      <c r="B52" s="11" t="n"/>
      <c r="C52" s="12" t="n"/>
      <c r="D52" s="12" t="n"/>
      <c r="E52" s="4" t="n"/>
      <c r="F52" s="13">
        <f>IF(OR(C52="",D52=""),"",ROUND(MOD(D52-C52,1)*1440,0))</f>
        <v/>
      </c>
      <c r="G52" s="4" t="n"/>
      <c r="H52" s="4" t="n"/>
      <c r="I52" s="4" t="n"/>
      <c r="J52" s="4" t="n"/>
    </row>
    <row r="53">
      <c r="A53" s="10" t="n">
        <v>50</v>
      </c>
      <c r="B53" s="11" t="n"/>
      <c r="C53" s="12" t="n"/>
      <c r="D53" s="12" t="n"/>
      <c r="E53" s="4" t="n"/>
      <c r="F53" s="13">
        <f>IF(OR(C53="",D53=""),"",ROUND(MOD(D53-C53,1)*1440,0))</f>
        <v/>
      </c>
      <c r="G53" s="4" t="n"/>
      <c r="H53" s="4" t="n"/>
      <c r="I53" s="4" t="n"/>
      <c r="J53" s="4" t="n"/>
    </row>
    <row r="54">
      <c r="A54" s="10" t="n">
        <v>51</v>
      </c>
      <c r="B54" s="11" t="n"/>
      <c r="C54" s="12" t="n"/>
      <c r="D54" s="12" t="n"/>
      <c r="E54" s="4" t="n"/>
      <c r="F54" s="13">
        <f>IF(OR(C54="",D54=""),"",ROUND(MOD(D54-C54,1)*1440,0))</f>
        <v/>
      </c>
      <c r="G54" s="4" t="n"/>
      <c r="H54" s="4" t="n"/>
      <c r="I54" s="4" t="n"/>
      <c r="J54" s="4" t="n"/>
    </row>
    <row r="55">
      <c r="A55" s="10" t="n">
        <v>52</v>
      </c>
      <c r="B55" s="11" t="n"/>
      <c r="C55" s="12" t="n"/>
      <c r="D55" s="12" t="n"/>
      <c r="E55" s="4" t="n"/>
      <c r="F55" s="13">
        <f>IF(OR(C55="",D55=""),"",ROUND(MOD(D55-C55,1)*1440,0))</f>
        <v/>
      </c>
      <c r="G55" s="4" t="n"/>
      <c r="H55" s="4" t="n"/>
      <c r="I55" s="4" t="n"/>
      <c r="J55" s="4" t="n"/>
    </row>
    <row r="56">
      <c r="A56" s="10" t="n">
        <v>53</v>
      </c>
      <c r="B56" s="11" t="n"/>
      <c r="C56" s="12" t="n"/>
      <c r="D56" s="12" t="n"/>
      <c r="E56" s="4" t="n"/>
      <c r="F56" s="13">
        <f>IF(OR(C56="",D56=""),"",ROUND(MOD(D56-C56,1)*1440,0))</f>
        <v/>
      </c>
      <c r="G56" s="4" t="n"/>
      <c r="H56" s="4" t="n"/>
      <c r="I56" s="4" t="n"/>
      <c r="J56" s="4" t="n"/>
    </row>
    <row r="57">
      <c r="A57" s="10" t="n">
        <v>54</v>
      </c>
      <c r="B57" s="11" t="n"/>
      <c r="C57" s="12" t="n"/>
      <c r="D57" s="12" t="n"/>
      <c r="E57" s="4" t="n"/>
      <c r="F57" s="13">
        <f>IF(OR(C57="",D57=""),"",ROUND(MOD(D57-C57,1)*1440,0))</f>
        <v/>
      </c>
      <c r="G57" s="4" t="n"/>
      <c r="H57" s="4" t="n"/>
      <c r="I57" s="4" t="n"/>
      <c r="J57" s="4" t="n"/>
    </row>
    <row r="58">
      <c r="A58" s="10" t="n">
        <v>55</v>
      </c>
      <c r="B58" s="11" t="n"/>
      <c r="C58" s="12" t="n"/>
      <c r="D58" s="12" t="n"/>
      <c r="E58" s="4" t="n"/>
      <c r="F58" s="13">
        <f>IF(OR(C58="",D58=""),"",ROUND(MOD(D58-C58,1)*1440,0))</f>
        <v/>
      </c>
      <c r="G58" s="4" t="n"/>
      <c r="H58" s="4" t="n"/>
      <c r="I58" s="4" t="n"/>
      <c r="J58" s="4" t="n"/>
    </row>
    <row r="59">
      <c r="A59" s="10" t="n">
        <v>56</v>
      </c>
      <c r="B59" s="11" t="n"/>
      <c r="C59" s="12" t="n"/>
      <c r="D59" s="12" t="n"/>
      <c r="E59" s="4" t="n"/>
      <c r="F59" s="13">
        <f>IF(OR(C59="",D59=""),"",ROUND(MOD(D59-C59,1)*1440,0))</f>
        <v/>
      </c>
      <c r="G59" s="4" t="n"/>
      <c r="H59" s="4" t="n"/>
      <c r="I59" s="4" t="n"/>
      <c r="J59" s="4" t="n"/>
    </row>
    <row r="60">
      <c r="A60" s="10" t="n">
        <v>57</v>
      </c>
      <c r="B60" s="11" t="n"/>
      <c r="C60" s="12" t="n"/>
      <c r="D60" s="12" t="n"/>
      <c r="E60" s="4" t="n"/>
      <c r="F60" s="13">
        <f>IF(OR(C60="",D60=""),"",ROUND(MOD(D60-C60,1)*1440,0))</f>
        <v/>
      </c>
      <c r="G60" s="4" t="n"/>
      <c r="H60" s="4" t="n"/>
      <c r="I60" s="4" t="n"/>
      <c r="J60" s="4" t="n"/>
    </row>
    <row r="61">
      <c r="A61" s="10" t="n">
        <v>58</v>
      </c>
      <c r="B61" s="11" t="n"/>
      <c r="C61" s="12" t="n"/>
      <c r="D61" s="12" t="n"/>
      <c r="E61" s="4" t="n"/>
      <c r="F61" s="13">
        <f>IF(OR(C61="",D61=""),"",ROUND(MOD(D61-C61,1)*1440,0))</f>
        <v/>
      </c>
      <c r="G61" s="4" t="n"/>
      <c r="H61" s="4" t="n"/>
      <c r="I61" s="4" t="n"/>
      <c r="J61" s="4" t="n"/>
    </row>
    <row r="62">
      <c r="A62" s="10" t="n">
        <v>59</v>
      </c>
      <c r="B62" s="11" t="n"/>
      <c r="C62" s="12" t="n"/>
      <c r="D62" s="12" t="n"/>
      <c r="E62" s="4" t="n"/>
      <c r="F62" s="13">
        <f>IF(OR(C62="",D62=""),"",ROUND(MOD(D62-C62,1)*1440,0))</f>
        <v/>
      </c>
      <c r="G62" s="4" t="n"/>
      <c r="H62" s="4" t="n"/>
      <c r="I62" s="4" t="n"/>
      <c r="J62" s="4" t="n"/>
    </row>
    <row r="63">
      <c r="A63" s="10" t="n">
        <v>60</v>
      </c>
      <c r="B63" s="11" t="n"/>
      <c r="C63" s="12" t="n"/>
      <c r="D63" s="12" t="n"/>
      <c r="E63" s="4" t="n"/>
      <c r="F63" s="13">
        <f>IF(OR(C63="",D63=""),"",ROUND(MOD(D63-C63,1)*1440,0))</f>
        <v/>
      </c>
      <c r="G63" s="4" t="n"/>
      <c r="H63" s="4" t="n"/>
      <c r="I63" s="4" t="n"/>
      <c r="J63" s="4" t="n"/>
    </row>
  </sheetData>
  <dataValidations count="1">
    <dataValidation sqref="E4:E63" showDropDown="0" showInputMessage="0" showErrorMessage="0" allowBlank="1" errorTitle="入力値" error="一覧から選んでください" type="list">
      <formula1>"設計書の読み解き,変数化,コード修正,実行,確認,手戻り"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6" customWidth="1" min="3" max="3"/>
    <col width="32" customWidth="1" min="4" max="4"/>
    <col width="10" customWidth="1" min="5" max="5"/>
    <col width="7" customWidth="1" min="6" max="6"/>
    <col width="12" customWidth="1" min="7" max="7"/>
    <col width="20" customWidth="1" min="8" max="8"/>
    <col width="11" customWidth="1" min="9" max="9"/>
    <col width="40" customWidth="1" min="10" max="10"/>
  </cols>
  <sheetData>
    <row r="1">
      <c r="A1" s="1" t="inlineStr">
        <is>
          <t>設計項目別結果（構築できた項目 / 構築できなかった項目）</t>
        </is>
      </c>
    </row>
    <row r="2">
      <c r="A2" s="2" t="inlineStr">
        <is>
          <t>節番号は設計書ごとに異なるため「設計書の節」に実際の番号を書く。設計書に無い項目は結果を「−」にする。</t>
        </is>
      </c>
    </row>
    <row r="3">
      <c r="A3" s="3" t="inlineStr">
        <is>
          <t>No</t>
        </is>
      </c>
      <c r="B3" s="3" t="inlineStr">
        <is>
          <t>区分</t>
        </is>
      </c>
      <c r="C3" s="3" t="inlineStr">
        <is>
          <t>設計項目</t>
        </is>
      </c>
      <c r="D3" s="3" t="inlineStr">
        <is>
          <t>主な設定内容（参考）</t>
        </is>
      </c>
      <c r="E3" s="3" t="inlineStr">
        <is>
          <t>設計書の節</t>
        </is>
      </c>
      <c r="F3" s="3" t="inlineStr">
        <is>
          <t>結果</t>
        </is>
      </c>
      <c r="G3" s="3" t="inlineStr">
        <is>
          <t>構築方法</t>
        </is>
      </c>
      <c r="H3" s="3" t="inlineStr">
        <is>
          <t>担当ロール / 手順</t>
        </is>
      </c>
      <c r="I3" s="3" t="inlineStr">
        <is>
          <t>確認方法</t>
        </is>
      </c>
      <c r="J3" s="3" t="inlineStr">
        <is>
          <t>備考</t>
        </is>
      </c>
    </row>
    <row r="4">
      <c r="A4" s="10" t="n">
        <v>1</v>
      </c>
      <c r="B4" s="10" t="inlineStr">
        <is>
          <t>概要</t>
        </is>
      </c>
      <c r="C4" s="10" t="inlineStr">
        <is>
          <t>OSバージョン</t>
        </is>
      </c>
      <c r="D4" s="10" t="inlineStr">
        <is>
          <t>OS 版数・エディション</t>
        </is>
      </c>
      <c r="E4" s="4" t="n"/>
      <c r="F4" s="4" t="n"/>
      <c r="G4" s="4" t="n"/>
      <c r="H4" s="4" t="n"/>
      <c r="I4" s="4" t="n"/>
      <c r="J4" s="4" t="n"/>
    </row>
    <row r="5">
      <c r="A5" s="10" t="n">
        <v>2</v>
      </c>
      <c r="B5" s="10" t="inlineStr">
        <is>
          <t>概要</t>
        </is>
      </c>
      <c r="C5" s="10" t="inlineStr">
        <is>
          <t>ドメイン参加</t>
        </is>
      </c>
      <c r="D5" s="10" t="inlineStr">
        <is>
          <t>ドメイン / ワークグループ</t>
        </is>
      </c>
      <c r="E5" s="4" t="n"/>
      <c r="F5" s="4" t="n"/>
      <c r="G5" s="4" t="n"/>
      <c r="H5" s="4" t="n"/>
      <c r="I5" s="4" t="n"/>
      <c r="J5" s="4" t="n"/>
    </row>
    <row r="6">
      <c r="A6" s="10" t="n">
        <v>3</v>
      </c>
      <c r="B6" s="10" t="inlineStr">
        <is>
          <t>概要</t>
        </is>
      </c>
      <c r="C6" s="10" t="inlineStr">
        <is>
          <t>ユーザアカウント</t>
        </is>
      </c>
      <c r="D6" s="10" t="inlineStr">
        <is>
          <t>ドメインユーザ・ローカルユーザ</t>
        </is>
      </c>
      <c r="E6" s="4" t="n"/>
      <c r="F6" s="4" t="n"/>
      <c r="G6" s="4" t="n"/>
      <c r="H6" s="4" t="n"/>
      <c r="I6" s="4" t="n"/>
      <c r="J6" s="4" t="n"/>
    </row>
    <row r="7">
      <c r="A7" s="10" t="n">
        <v>4</v>
      </c>
      <c r="B7" s="10" t="inlineStr">
        <is>
          <t>概要</t>
        </is>
      </c>
      <c r="C7" s="10" t="inlineStr">
        <is>
          <t>ドライブ構成</t>
        </is>
      </c>
      <c r="D7" s="10" t="inlineStr">
        <is>
          <t>C: のサイズ、データ領域のドライブ</t>
        </is>
      </c>
      <c r="E7" s="4" t="n"/>
      <c r="F7" s="4" t="n"/>
      <c r="G7" s="4" t="n"/>
      <c r="H7" s="4" t="n"/>
      <c r="I7" s="4" t="n"/>
      <c r="J7" s="4" t="n"/>
    </row>
    <row r="8">
      <c r="A8" s="10" t="n">
        <v>5</v>
      </c>
      <c r="B8" s="10" t="inlineStr">
        <is>
          <t>概要</t>
        </is>
      </c>
      <c r="C8" s="10" t="inlineStr">
        <is>
          <t>ネットワーク設定</t>
        </is>
      </c>
      <c r="D8" s="10" t="inlineStr">
        <is>
          <t>IPv6 無効化、IP / DNS</t>
        </is>
      </c>
      <c r="E8" s="4" t="n"/>
      <c r="F8" s="4" t="n"/>
      <c r="G8" s="4" t="n"/>
      <c r="H8" s="4" t="n"/>
      <c r="I8" s="4" t="n"/>
      <c r="J8" s="4" t="n"/>
    </row>
    <row r="9">
      <c r="A9" s="10" t="n">
        <v>6</v>
      </c>
      <c r="B9" s="10" t="inlineStr">
        <is>
          <t>概要</t>
        </is>
      </c>
      <c r="C9" s="10" t="inlineStr">
        <is>
          <t>言語設定</t>
        </is>
      </c>
      <c r="D9" s="10" t="inlineStr">
        <is>
          <t>日本語、タイムゾーン</t>
        </is>
      </c>
      <c r="E9" s="4" t="n"/>
      <c r="F9" s="4" t="n"/>
      <c r="G9" s="4" t="n"/>
      <c r="H9" s="4" t="n"/>
      <c r="I9" s="4" t="n"/>
      <c r="J9" s="4" t="n"/>
    </row>
    <row r="10">
      <c r="A10" s="10" t="n">
        <v>7</v>
      </c>
      <c r="B10" s="10" t="inlineStr">
        <is>
          <t>概要</t>
        </is>
      </c>
      <c r="C10" s="10" t="inlineStr">
        <is>
          <t>リモート接続設定</t>
        </is>
      </c>
      <c r="D10" s="10" t="inlineStr">
        <is>
          <t>リモートデスクトップ、NLA、許可するユーザ</t>
        </is>
      </c>
      <c r="E10" s="4" t="n"/>
      <c r="F10" s="4" t="n"/>
      <c r="G10" s="4" t="n"/>
      <c r="H10" s="4" t="n"/>
      <c r="I10" s="4" t="n"/>
      <c r="J10" s="4" t="n"/>
    </row>
    <row r="11">
      <c r="A11" s="10" t="n">
        <v>8</v>
      </c>
      <c r="B11" s="10" t="inlineStr">
        <is>
          <t>概要</t>
        </is>
      </c>
      <c r="C11" s="10" t="inlineStr">
        <is>
          <t>時刻同期設定</t>
        </is>
      </c>
      <c r="D11" s="10" t="inlineStr">
        <is>
          <t>NTP / ドメイン階層での同期</t>
        </is>
      </c>
      <c r="E11" s="4" t="n"/>
      <c r="F11" s="4" t="n"/>
      <c r="G11" s="4" t="n"/>
      <c r="H11" s="4" t="n"/>
      <c r="I11" s="4" t="n"/>
      <c r="J11" s="4" t="n"/>
    </row>
    <row r="12">
      <c r="A12" s="10" t="n">
        <v>9</v>
      </c>
      <c r="B12" s="10" t="inlineStr">
        <is>
          <t>概要</t>
        </is>
      </c>
      <c r="C12" s="10" t="inlineStr">
        <is>
          <t>役割と機能</t>
        </is>
      </c>
      <c r="D12" s="10" t="inlineStr">
        <is>
          <t>追加する役割・機能</t>
        </is>
      </c>
      <c r="E12" s="4" t="n"/>
      <c r="F12" s="4" t="n"/>
      <c r="G12" s="4" t="n"/>
      <c r="H12" s="4" t="n"/>
      <c r="I12" s="4" t="n"/>
      <c r="J12" s="4" t="n"/>
    </row>
    <row r="13">
      <c r="A13" s="10" t="n">
        <v>10</v>
      </c>
      <c r="B13" s="10" t="inlineStr">
        <is>
          <t>概要</t>
        </is>
      </c>
      <c r="C13" s="10" t="inlineStr">
        <is>
          <t>Windows Defender ファイアウォール</t>
        </is>
      </c>
      <c r="D13" s="10" t="inlineStr">
        <is>
          <t>無効化（NSG / セキュリティグループで制御）</t>
        </is>
      </c>
      <c r="E13" s="4" t="n"/>
      <c r="F13" s="4" t="n"/>
      <c r="G13" s="4" t="n"/>
      <c r="H13" s="4" t="n"/>
      <c r="I13" s="4" t="n"/>
      <c r="J13" s="4" t="n"/>
    </row>
    <row r="14">
      <c r="A14" s="10" t="n">
        <v>11</v>
      </c>
      <c r="B14" s="10" t="inlineStr">
        <is>
          <t>概要</t>
        </is>
      </c>
      <c r="C14" s="10" t="inlineStr">
        <is>
          <t>Windows Defender</t>
        </is>
      </c>
      <c r="D14" s="10" t="inlineStr">
        <is>
          <t>ポリシーで無効化、無効化の時期</t>
        </is>
      </c>
      <c r="E14" s="4" t="n"/>
      <c r="F14" s="4" t="n"/>
      <c r="G14" s="4" t="n"/>
      <c r="H14" s="4" t="n"/>
      <c r="I14" s="4" t="n"/>
      <c r="J14" s="4" t="n"/>
    </row>
    <row r="15">
      <c r="A15" s="10" t="n">
        <v>12</v>
      </c>
      <c r="B15" s="10" t="inlineStr">
        <is>
          <t>概要</t>
        </is>
      </c>
      <c r="C15" s="10" t="inlineStr">
        <is>
          <t>ユーザアカウント制御</t>
        </is>
      </c>
      <c r="D15" s="10" t="inlineStr">
        <is>
          <t>UAC 無効化</t>
        </is>
      </c>
      <c r="E15" s="4" t="n"/>
      <c r="F15" s="4" t="n"/>
      <c r="G15" s="4" t="n"/>
      <c r="H15" s="4" t="n"/>
      <c r="I15" s="4" t="n"/>
      <c r="J15" s="4" t="n"/>
    </row>
    <row r="16">
      <c r="A16" s="10" t="n">
        <v>13</v>
      </c>
      <c r="B16" s="10" t="inlineStr">
        <is>
          <t>概要</t>
        </is>
      </c>
      <c r="C16" s="10" t="inlineStr">
        <is>
          <t>タスクスケジューラ</t>
        </is>
      </c>
      <c r="D16" s="10" t="inlineStr">
        <is>
          <t>タスクの登録</t>
        </is>
      </c>
      <c r="E16" s="4" t="n"/>
      <c r="F16" s="4" t="n"/>
      <c r="G16" s="4" t="n"/>
      <c r="H16" s="4" t="n"/>
      <c r="I16" s="4" t="n"/>
      <c r="J16" s="4" t="n"/>
    </row>
    <row r="17">
      <c r="A17" s="10" t="n">
        <v>14</v>
      </c>
      <c r="B17" s="10" t="inlineStr">
        <is>
          <t>概要</t>
        </is>
      </c>
      <c r="C17" s="10" t="inlineStr">
        <is>
          <t>Windows 更新プログラムの適用</t>
        </is>
      </c>
      <c r="D17" s="10" t="inlineStr">
        <is>
          <t>構築時の適用、自動更新の構成 = 無効</t>
        </is>
      </c>
      <c r="E17" s="4" t="n"/>
      <c r="F17" s="4" t="n"/>
      <c r="G17" s="4" t="n"/>
      <c r="H17" s="4" t="n"/>
      <c r="I17" s="4" t="n"/>
      <c r="J17" s="4" t="n"/>
    </row>
    <row r="18">
      <c r="A18" s="10" t="n">
        <v>15</v>
      </c>
      <c r="B18" s="10" t="inlineStr">
        <is>
          <t>概要</t>
        </is>
      </c>
      <c r="C18" s="10" t="inlineStr">
        <is>
          <t>サービス設定</t>
        </is>
      </c>
      <c r="D18" s="10" t="inlineStr">
        <is>
          <t>不要なサービスの無効化</t>
        </is>
      </c>
      <c r="E18" s="4" t="n"/>
      <c r="F18" s="4" t="n"/>
      <c r="G18" s="4" t="n"/>
      <c r="H18" s="4" t="n"/>
      <c r="I18" s="4" t="n"/>
      <c r="J18" s="4" t="n"/>
    </row>
    <row r="19">
      <c r="A19" s="10" t="n">
        <v>16</v>
      </c>
      <c r="B19" s="10" t="inlineStr">
        <is>
          <t>概要</t>
        </is>
      </c>
      <c r="C19" s="10" t="inlineStr">
        <is>
          <t>FTP設定</t>
        </is>
      </c>
      <c r="D19" s="10" t="inlineStr">
        <is>
          <t>FTP サイト</t>
        </is>
      </c>
      <c r="E19" s="4" t="n"/>
      <c r="F19" s="4" t="n"/>
      <c r="G19" s="4" t="n"/>
      <c r="H19" s="4" t="n"/>
      <c r="I19" s="4" t="n"/>
      <c r="J19" s="4" t="n"/>
    </row>
    <row r="20">
      <c r="A20" s="10" t="n">
        <v>17</v>
      </c>
      <c r="B20" s="10" t="inlineStr">
        <is>
          <t>概要</t>
        </is>
      </c>
      <c r="C20" s="10" t="inlineStr">
        <is>
          <t>ホスト名の戻し</t>
        </is>
      </c>
      <c r="D20" s="10" t="inlineStr">
        <is>
          <t>移行後のホスト名変更</t>
        </is>
      </c>
      <c r="E20" s="4" t="n"/>
      <c r="F20" s="4" t="n"/>
      <c r="G20" s="4" t="n"/>
      <c r="H20" s="4" t="n"/>
      <c r="I20" s="4" t="n"/>
      <c r="J20" s="4" t="n"/>
    </row>
    <row r="21">
      <c r="A21" s="10" t="n">
        <v>18</v>
      </c>
      <c r="B21" s="10" t="inlineStr">
        <is>
          <t>詳細</t>
        </is>
      </c>
      <c r="C21" s="10" t="inlineStr">
        <is>
          <t>サーバーマネージャー</t>
        </is>
      </c>
      <c r="D21" s="10" t="inlineStr">
        <is>
          <t>コンピュータ名、IE ESC、診断データ、リモート管理</t>
        </is>
      </c>
      <c r="E21" s="4" t="n"/>
      <c r="F21" s="4" t="n"/>
      <c r="G21" s="4" t="n"/>
      <c r="H21" s="4" t="n"/>
      <c r="I21" s="4" t="n"/>
      <c r="J21" s="4" t="n"/>
    </row>
    <row r="22">
      <c r="A22" s="10" t="n">
        <v>19</v>
      </c>
      <c r="B22" s="10" t="inlineStr">
        <is>
          <t>詳細</t>
        </is>
      </c>
      <c r="C22" s="10" t="inlineStr">
        <is>
          <t>Windowsログ</t>
        </is>
      </c>
      <c r="D22" s="10" t="inlineStr">
        <is>
          <t>イベントログの最大サイズ</t>
        </is>
      </c>
      <c r="E22" s="4" t="n"/>
      <c r="F22" s="4" t="n"/>
      <c r="G22" s="4" t="n"/>
      <c r="H22" s="4" t="n"/>
      <c r="I22" s="4" t="n"/>
      <c r="J22" s="4" t="n"/>
    </row>
    <row r="23">
      <c r="A23" s="10" t="n">
        <v>20</v>
      </c>
      <c r="B23" s="10" t="inlineStr">
        <is>
          <t>詳細</t>
        </is>
      </c>
      <c r="C23" s="10" t="inlineStr">
        <is>
          <t>システムのプロパティ</t>
        </is>
      </c>
      <c r="D23" s="10" t="inlineStr">
        <is>
          <t>仮想メモリ、起動と回復</t>
        </is>
      </c>
      <c r="E23" s="4" t="n"/>
      <c r="F23" s="4" t="n"/>
      <c r="G23" s="4" t="n"/>
      <c r="H23" s="4" t="n"/>
      <c r="I23" s="4" t="n"/>
      <c r="J23" s="4" t="n"/>
    </row>
    <row r="24">
      <c r="A24" s="10" t="n">
        <v>21</v>
      </c>
      <c r="B24" s="10" t="inlineStr">
        <is>
          <t>詳細</t>
        </is>
      </c>
      <c r="C24" s="10" t="inlineStr">
        <is>
          <t>ローカルユーザ / ローカルグループ</t>
        </is>
      </c>
      <c r="D24" s="10" t="inlineStr">
        <is>
          <t>ユーザ作成、グループ所属、Guest</t>
        </is>
      </c>
      <c r="E24" s="4" t="n"/>
      <c r="F24" s="4" t="n"/>
      <c r="G24" s="4" t="n"/>
      <c r="H24" s="4" t="n"/>
      <c r="I24" s="4" t="n"/>
      <c r="J24" s="4" t="n"/>
    </row>
    <row r="25">
      <c r="A25" s="10" t="n">
        <v>22</v>
      </c>
      <c r="B25" s="10" t="inlineStr">
        <is>
          <t>詳細</t>
        </is>
      </c>
      <c r="C25" s="10" t="inlineStr">
        <is>
          <t>ディスクの管理</t>
        </is>
      </c>
      <c r="D25" s="10" t="inlineStr">
        <is>
          <t>パーティションスタイル、ファイルシステム、ラベル</t>
        </is>
      </c>
      <c r="E25" s="4" t="n"/>
      <c r="F25" s="4" t="n"/>
      <c r="G25" s="4" t="n"/>
      <c r="H25" s="4" t="n"/>
      <c r="I25" s="4" t="n"/>
      <c r="J25" s="4" t="n"/>
    </row>
    <row r="26">
      <c r="A26" s="10" t="n">
        <v>23</v>
      </c>
      <c r="B26" s="10" t="inlineStr">
        <is>
          <t>詳細</t>
        </is>
      </c>
      <c r="C26" s="10" t="inlineStr">
        <is>
          <t>導入ソフトウェア</t>
        </is>
      </c>
      <c r="D26" s="10" t="inlineStr">
        <is>
          <t>ミドルウェア・ランタイムの導入</t>
        </is>
      </c>
      <c r="E26" s="4" t="n"/>
      <c r="F26" s="4" t="n"/>
      <c r="G26" s="4" t="n"/>
      <c r="H26" s="4" t="n"/>
      <c r="I26" s="4" t="n"/>
      <c r="J26" s="4" t="n"/>
    </row>
    <row r="27">
      <c r="A27" s="10" t="n">
        <v>24</v>
      </c>
      <c r="B27" s="10" t="inlineStr">
        <is>
          <t>詳細</t>
        </is>
      </c>
      <c r="C27" s="10" t="inlineStr">
        <is>
          <t>ネットワーク設定（NIC）</t>
        </is>
      </c>
      <c r="D27" s="10" t="inlineStr">
        <is>
          <t>バインド、DNS サフィックス、NetBIOS</t>
        </is>
      </c>
      <c r="E27" s="4" t="n"/>
      <c r="F27" s="4" t="n"/>
      <c r="G27" s="4" t="n"/>
      <c r="H27" s="4" t="n"/>
      <c r="I27" s="4" t="n"/>
      <c r="J27" s="4" t="n"/>
    </row>
    <row r="28">
      <c r="A28" s="10" t="n">
        <v>25</v>
      </c>
      <c r="B28" s="10" t="inlineStr">
        <is>
          <t>詳細</t>
        </is>
      </c>
      <c r="C28" s="10" t="inlineStr">
        <is>
          <t>hosts</t>
        </is>
      </c>
      <c r="D28" s="10" t="inlineStr">
        <is>
          <t>hosts エントリ</t>
        </is>
      </c>
      <c r="E28" s="4" t="n"/>
      <c r="F28" s="4" t="n"/>
      <c r="G28" s="4" t="n"/>
      <c r="H28" s="4" t="n"/>
      <c r="I28" s="4" t="n"/>
      <c r="J28" s="4" t="n"/>
    </row>
    <row r="29">
      <c r="A29" s="10" t="n">
        <v>26</v>
      </c>
      <c r="B29" s="10" t="inlineStr">
        <is>
          <t>詳細</t>
        </is>
      </c>
      <c r="C29" s="10" t="inlineStr">
        <is>
          <t>役割と機能の追加（一覧）</t>
        </is>
      </c>
      <c r="D29" s="10" t="inlineStr">
        <is>
          <t>既定で導入済みの項目を含む</t>
        </is>
      </c>
      <c r="E29" s="4" t="n"/>
      <c r="F29" s="4" t="n"/>
      <c r="G29" s="4" t="n"/>
      <c r="H29" s="4" t="n"/>
      <c r="I29" s="4" t="n"/>
      <c r="J29" s="4" t="n"/>
    </row>
    <row r="30">
      <c r="A30" s="10" t="n">
        <v>27</v>
      </c>
      <c r="B30" s="10" t="inlineStr">
        <is>
          <t>詳細</t>
        </is>
      </c>
      <c r="C30" s="10" t="inlineStr">
        <is>
          <t>UAC の無効化（レジストリ）</t>
        </is>
      </c>
      <c r="D30" s="10" t="inlineStr">
        <is>
          <t>EnableLUA / luafv</t>
        </is>
      </c>
      <c r="E30" s="4" t="n"/>
      <c r="F30" s="4" t="n"/>
      <c r="G30" s="4" t="n"/>
      <c r="H30" s="4" t="n"/>
      <c r="I30" s="4" t="n"/>
      <c r="J30" s="4" t="n"/>
    </row>
    <row r="31">
      <c r="A31" s="10" t="n">
        <v>28</v>
      </c>
      <c r="B31" s="10" t="inlineStr">
        <is>
          <t>詳細</t>
        </is>
      </c>
      <c r="C31" s="10" t="inlineStr">
        <is>
          <t>WindowsUpdate 適用パッチ一覧</t>
        </is>
      </c>
      <c r="D31" s="10" t="inlineStr">
        <is>
          <t>適用済みパッチの記録</t>
        </is>
      </c>
      <c r="E31" s="4" t="n"/>
      <c r="F31" s="4" t="n"/>
      <c r="G31" s="4" t="n"/>
      <c r="H31" s="4" t="n"/>
      <c r="I31" s="4" t="n"/>
      <c r="J31" s="4" t="n"/>
    </row>
    <row r="32">
      <c r="A32" s="10" t="n">
        <v>29</v>
      </c>
      <c r="B32" s="10" t="inlineStr">
        <is>
          <t>詳細</t>
        </is>
      </c>
      <c r="C32" s="10" t="inlineStr">
        <is>
          <t>ローカルグループポリシー</t>
        </is>
      </c>
      <c r="D32" s="10" t="inlineStr">
        <is>
          <t>Defender / 自動更新</t>
        </is>
      </c>
      <c r="E32" s="4" t="n"/>
      <c r="F32" s="4" t="n"/>
      <c r="G32" s="4" t="n"/>
      <c r="H32" s="4" t="n"/>
      <c r="I32" s="4" t="n"/>
      <c r="J32" s="4" t="n"/>
    </row>
    <row r="33">
      <c r="A33" s="10" t="n">
        <v>30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10" t="n">
        <v>31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10" t="n">
        <v>32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10" t="n">
        <v>33</v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10" t="n">
        <v>34</v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10" t="n">
        <v>35</v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10" t="n">
        <v>36</v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10" t="n">
        <v>37</v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10" t="n">
        <v>38</v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10" t="n">
        <v>39</v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10" t="n">
        <v>40</v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10" t="n">
        <v>41</v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10" t="n">
        <v>42</v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10" t="n">
        <v>43</v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10" t="n">
        <v>44</v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10" t="n">
        <v>45</v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10" t="n">
        <v>46</v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10" t="n">
        <v>47</v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10" t="n">
        <v>48</v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10" t="n">
        <v>49</v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</sheetData>
  <dataValidations count="3">
    <dataValidation sqref="F4:F52" showDropDown="0" showInputMessage="0" showErrorMessage="0" allowBlank="1" errorTitle="入力値" error="一覧から選んでください" type="list">
      <formula1>"◎,○,△,×,−"</formula1>
    </dataValidation>
    <dataValidation sqref="G4:G52" showDropDown="0" showInputMessage="0" showErrorMessage="0" allowBlank="1" errorTitle="入力値" error="一覧から選んでください" type="list">
      <formula1>"変数のみ,ロール修正,新規ロール,手動,クラウド側,対象外"</formula1>
    </dataValidation>
    <dataValidation sqref="I4:I52" showDropDown="0" showInputMessage="0" showErrorMessage="0" allowBlank="1" errorTitle="入力値" error="一覧から選んでください" type="list">
      <formula1>"突合せ,証跡,目視,未確認"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4" customWidth="1" min="3" max="3"/>
    <col width="13" customWidth="1" min="4" max="4"/>
    <col width="34" customWidth="1" min="5" max="5"/>
    <col width="10" customWidth="1" min="6" max="6"/>
    <col width="9" customWidth="1" min="7" max="7"/>
    <col width="13" customWidth="1" min="8" max="8"/>
    <col width="30" customWidth="1" min="9" max="9"/>
  </cols>
  <sheetData>
    <row r="1">
      <c r="A1" s="1" t="inlineStr">
        <is>
          <t>差分・修正</t>
        </is>
      </c>
    </row>
    <row r="2">
      <c r="A2" s="2" t="inlineStr">
        <is>
          <t>既存資産から変えた箇所を 1 件 1 行。手動構築の場合は記入不要。</t>
        </is>
      </c>
    </row>
    <row r="3">
      <c r="A3" s="3" t="inlineStr">
        <is>
          <t>No</t>
        </is>
      </c>
      <c r="B3" s="3" t="inlineStr">
        <is>
          <t>設計項目</t>
        </is>
      </c>
      <c r="C3" s="3" t="inlineStr">
        <is>
          <t>内容</t>
        </is>
      </c>
      <c r="D3" s="3" t="inlineStr">
        <is>
          <t>区分</t>
        </is>
      </c>
      <c r="E3" s="3" t="inlineStr">
        <is>
          <t>修正したファイル</t>
        </is>
      </c>
      <c r="F3" s="3" t="inlineStr">
        <is>
          <t>コミット</t>
        </is>
      </c>
      <c r="G3" s="3" t="inlineStr">
        <is>
          <t>工数(分)</t>
        </is>
      </c>
      <c r="H3" s="3" t="inlineStr">
        <is>
          <t>標準に取り込むか</t>
        </is>
      </c>
      <c r="I3" s="3" t="inlineStr">
        <is>
          <t>備考</t>
        </is>
      </c>
    </row>
    <row r="4">
      <c r="A4" s="10" t="n">
        <v>1</v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10" t="n">
        <v>2</v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10" t="n">
        <v>3</v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10" t="n">
        <v>4</v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10" t="n">
        <v>5</v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10" t="n">
        <v>6</v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10" t="n">
        <v>7</v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10" t="n">
        <v>8</v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10" t="n">
        <v>9</v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10" t="n">
        <v>10</v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10" t="n">
        <v>11</v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10" t="n">
        <v>12</v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10" t="n">
        <v>13</v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10" t="n">
        <v>14</v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10" t="n">
        <v>15</v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10" t="n">
        <v>16</v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10" t="n">
        <v>17</v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10" t="n">
        <v>18</v>
      </c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10" t="n">
        <v>19</v>
      </c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10" t="n">
        <v>20</v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10" t="n">
        <v>21</v>
      </c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10" t="n">
        <v>22</v>
      </c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10" t="n">
        <v>23</v>
      </c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10" t="n">
        <v>24</v>
      </c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10" t="n">
        <v>25</v>
      </c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10" t="n">
        <v>26</v>
      </c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10" t="n">
        <v>27</v>
      </c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10" t="n">
        <v>28</v>
      </c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10" t="n">
        <v>29</v>
      </c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10" t="n">
        <v>30</v>
      </c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10" t="n">
        <v>31</v>
      </c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10" t="n">
        <v>32</v>
      </c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10" t="n">
        <v>33</v>
      </c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10" t="n">
        <v>34</v>
      </c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10" t="n">
        <v>35</v>
      </c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10" t="n">
        <v>36</v>
      </c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10" t="n">
        <v>37</v>
      </c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10" t="n">
        <v>38</v>
      </c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10" t="n">
        <v>39</v>
      </c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10" t="n">
        <v>40</v>
      </c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10" t="n">
        <v>41</v>
      </c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10" t="n">
        <v>42</v>
      </c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10" t="n">
        <v>43</v>
      </c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10" t="n">
        <v>44</v>
      </c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10" t="n">
        <v>45</v>
      </c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10" t="n">
        <v>46</v>
      </c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10" t="n">
        <v>47</v>
      </c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10" t="n">
        <v>48</v>
      </c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10" t="n">
        <v>49</v>
      </c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10" t="n">
        <v>50</v>
      </c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10" t="n">
        <v>51</v>
      </c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10" t="n">
        <v>52</v>
      </c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10" t="n">
        <v>53</v>
      </c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10" t="n">
        <v>54</v>
      </c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10" t="n">
        <v>55</v>
      </c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10" t="n">
        <v>56</v>
      </c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10" t="n">
        <v>57</v>
      </c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10" t="n">
        <v>58</v>
      </c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10" t="n">
        <v>59</v>
      </c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10" t="n">
        <v>60</v>
      </c>
      <c r="B63" s="4" t="n"/>
      <c r="C63" s="4" t="n"/>
      <c r="D63" s="4" t="n"/>
      <c r="E63" s="4" t="n"/>
      <c r="F63" s="4" t="n"/>
      <c r="G63" s="4" t="n"/>
      <c r="H63" s="4" t="n"/>
      <c r="I63" s="4" t="n"/>
    </row>
  </sheetData>
  <dataValidations count="2">
    <dataValidation sqref="D4:D63" showDropDown="0" showInputMessage="0" showErrorMessage="0" allowBlank="1" errorTitle="入力値" error="一覧から選んでください" type="list">
      <formula1>"変数のみ,ロール修正,新規ロール,設計書要確認"</formula1>
    </dataValidation>
    <dataValidation sqref="H4:H63" showDropDown="0" showInputMessage="0" showErrorMessage="0" allowBlank="1" errorTitle="入力値" error="一覧から選んでください" type="list">
      <formula1>"要,不要,要検討"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9" customWidth="1" min="4" max="4"/>
    <col width="34" customWidth="1" min="5" max="5"/>
  </cols>
  <sheetData>
    <row r="1">
      <c r="A1" s="1" t="inlineStr">
        <is>
          <t>実施手順</t>
        </is>
      </c>
    </row>
    <row r="2">
      <c r="A2" s="2" t="inlineStr">
        <is>
          <t>実際にたどった順に書く。次の人がこのシートだけで再現できることを目安にする。</t>
        </is>
      </c>
    </row>
    <row r="3">
      <c r="A3" s="3" t="inlineStr">
        <is>
          <t>順</t>
        </is>
      </c>
      <c r="B3" s="3" t="inlineStr">
        <is>
          <t>作業</t>
        </is>
      </c>
      <c r="C3" s="3" t="inlineStr">
        <is>
          <t>コマンド・操作</t>
        </is>
      </c>
      <c r="D3" s="3" t="inlineStr">
        <is>
          <t>所要(分)</t>
        </is>
      </c>
      <c r="E3" s="3" t="inlineStr">
        <is>
          <t>備考</t>
        </is>
      </c>
    </row>
    <row r="4">
      <c r="A4" s="10" t="n">
        <v>1</v>
      </c>
      <c r="B4" s="4" t="n"/>
      <c r="C4" s="4" t="n"/>
      <c r="D4" s="4" t="n"/>
      <c r="E4" s="4" t="n"/>
    </row>
    <row r="5">
      <c r="A5" s="10" t="n">
        <v>2</v>
      </c>
      <c r="B5" s="4" t="n"/>
      <c r="C5" s="4" t="n"/>
      <c r="D5" s="4" t="n"/>
      <c r="E5" s="4" t="n"/>
    </row>
    <row r="6">
      <c r="A6" s="10" t="n">
        <v>3</v>
      </c>
      <c r="B6" s="4" t="n"/>
      <c r="C6" s="4" t="n"/>
      <c r="D6" s="4" t="n"/>
      <c r="E6" s="4" t="n"/>
    </row>
    <row r="7">
      <c r="A7" s="10" t="n">
        <v>4</v>
      </c>
      <c r="B7" s="4" t="n"/>
      <c r="C7" s="4" t="n"/>
      <c r="D7" s="4" t="n"/>
      <c r="E7" s="4" t="n"/>
    </row>
    <row r="8">
      <c r="A8" s="10" t="n">
        <v>5</v>
      </c>
      <c r="B8" s="4" t="n"/>
      <c r="C8" s="4" t="n"/>
      <c r="D8" s="4" t="n"/>
      <c r="E8" s="4" t="n"/>
    </row>
    <row r="9">
      <c r="A9" s="10" t="n">
        <v>6</v>
      </c>
      <c r="B9" s="4" t="n"/>
      <c r="C9" s="4" t="n"/>
      <c r="D9" s="4" t="n"/>
      <c r="E9" s="4" t="n"/>
    </row>
    <row r="10">
      <c r="A10" s="10" t="n">
        <v>7</v>
      </c>
      <c r="B10" s="4" t="n"/>
      <c r="C10" s="4" t="n"/>
      <c r="D10" s="4" t="n"/>
      <c r="E10" s="4" t="n"/>
    </row>
    <row r="11">
      <c r="A11" s="10" t="n">
        <v>8</v>
      </c>
      <c r="B11" s="4" t="n"/>
      <c r="C11" s="4" t="n"/>
      <c r="D11" s="4" t="n"/>
      <c r="E11" s="4" t="n"/>
    </row>
    <row r="12">
      <c r="A12" s="10" t="n">
        <v>9</v>
      </c>
      <c r="B12" s="4" t="n"/>
      <c r="C12" s="4" t="n"/>
      <c r="D12" s="4" t="n"/>
      <c r="E12" s="4" t="n"/>
    </row>
    <row r="13">
      <c r="A13" s="10" t="n">
        <v>10</v>
      </c>
      <c r="B13" s="4" t="n"/>
      <c r="C13" s="4" t="n"/>
      <c r="D13" s="4" t="n"/>
      <c r="E13" s="4" t="n"/>
    </row>
    <row r="14">
      <c r="A14" s="10" t="n">
        <v>11</v>
      </c>
      <c r="B14" s="4" t="n"/>
      <c r="C14" s="4" t="n"/>
      <c r="D14" s="4" t="n"/>
      <c r="E14" s="4" t="n"/>
    </row>
    <row r="15">
      <c r="A15" s="10" t="n">
        <v>12</v>
      </c>
      <c r="B15" s="4" t="n"/>
      <c r="C15" s="4" t="n"/>
      <c r="D15" s="4" t="n"/>
      <c r="E15" s="4" t="n"/>
    </row>
    <row r="16">
      <c r="A16" s="10" t="n">
        <v>13</v>
      </c>
      <c r="B16" s="4" t="n"/>
      <c r="C16" s="4" t="n"/>
      <c r="D16" s="4" t="n"/>
      <c r="E16" s="4" t="n"/>
    </row>
    <row r="17">
      <c r="A17" s="10" t="n">
        <v>14</v>
      </c>
      <c r="B17" s="4" t="n"/>
      <c r="C17" s="4" t="n"/>
      <c r="D17" s="4" t="n"/>
      <c r="E17" s="4" t="n"/>
    </row>
    <row r="18">
      <c r="A18" s="10" t="n">
        <v>15</v>
      </c>
      <c r="B18" s="4" t="n"/>
      <c r="C18" s="4" t="n"/>
      <c r="D18" s="4" t="n"/>
      <c r="E18" s="4" t="n"/>
    </row>
    <row r="19">
      <c r="A19" s="10" t="n">
        <v>16</v>
      </c>
      <c r="B19" s="4" t="n"/>
      <c r="C19" s="4" t="n"/>
      <c r="D19" s="4" t="n"/>
      <c r="E19" s="4" t="n"/>
    </row>
    <row r="20">
      <c r="A20" s="10" t="n">
        <v>17</v>
      </c>
      <c r="B20" s="4" t="n"/>
      <c r="C20" s="4" t="n"/>
      <c r="D20" s="4" t="n"/>
      <c r="E20" s="4" t="n"/>
    </row>
    <row r="21">
      <c r="A21" s="10" t="n">
        <v>18</v>
      </c>
      <c r="B21" s="4" t="n"/>
      <c r="C21" s="4" t="n"/>
      <c r="D21" s="4" t="n"/>
      <c r="E21" s="4" t="n"/>
    </row>
    <row r="22">
      <c r="A22" s="10" t="n">
        <v>19</v>
      </c>
      <c r="B22" s="4" t="n"/>
      <c r="C22" s="4" t="n"/>
      <c r="D22" s="4" t="n"/>
      <c r="E22" s="4" t="n"/>
    </row>
    <row r="23">
      <c r="A23" s="10" t="n">
        <v>20</v>
      </c>
      <c r="B23" s="4" t="n"/>
      <c r="C23" s="4" t="n"/>
      <c r="D23" s="4" t="n"/>
      <c r="E23" s="4" t="n"/>
    </row>
    <row r="24">
      <c r="A24" s="10" t="n">
        <v>21</v>
      </c>
      <c r="B24" s="4" t="n"/>
      <c r="C24" s="4" t="n"/>
      <c r="D24" s="4" t="n"/>
      <c r="E24" s="4" t="n"/>
    </row>
    <row r="25">
      <c r="A25" s="10" t="n">
        <v>22</v>
      </c>
      <c r="B25" s="4" t="n"/>
      <c r="C25" s="4" t="n"/>
      <c r="D25" s="4" t="n"/>
      <c r="E25" s="4" t="n"/>
    </row>
    <row r="26">
      <c r="A26" s="10" t="n">
        <v>23</v>
      </c>
      <c r="B26" s="4" t="n"/>
      <c r="C26" s="4" t="n"/>
      <c r="D26" s="4" t="n"/>
      <c r="E26" s="4" t="n"/>
    </row>
    <row r="27">
      <c r="A27" s="10" t="n">
        <v>24</v>
      </c>
      <c r="B27" s="4" t="n"/>
      <c r="C27" s="4" t="n"/>
      <c r="D27" s="4" t="n"/>
      <c r="E27" s="4" t="n"/>
    </row>
    <row r="28">
      <c r="A28" s="10" t="n">
        <v>25</v>
      </c>
      <c r="B28" s="4" t="n"/>
      <c r="C28" s="4" t="n"/>
      <c r="D28" s="4" t="n"/>
      <c r="E28" s="4" t="n"/>
    </row>
    <row r="29">
      <c r="A29" s="10" t="n">
        <v>26</v>
      </c>
      <c r="B29" s="4" t="n"/>
      <c r="C29" s="4" t="n"/>
      <c r="D29" s="4" t="n"/>
      <c r="E29" s="4" t="n"/>
    </row>
    <row r="30">
      <c r="A30" s="10" t="n">
        <v>27</v>
      </c>
      <c r="B30" s="4" t="n"/>
      <c r="C30" s="4" t="n"/>
      <c r="D30" s="4" t="n"/>
      <c r="E30" s="4" t="n"/>
    </row>
    <row r="31">
      <c r="A31" s="10" t="n">
        <v>28</v>
      </c>
      <c r="B31" s="4" t="n"/>
      <c r="C31" s="4" t="n"/>
      <c r="D31" s="4" t="n"/>
      <c r="E31" s="4" t="n"/>
    </row>
    <row r="32">
      <c r="A32" s="10" t="n">
        <v>29</v>
      </c>
      <c r="B32" s="4" t="n"/>
      <c r="C32" s="4" t="n"/>
      <c r="D32" s="4" t="n"/>
      <c r="E32" s="4" t="n"/>
    </row>
    <row r="33">
      <c r="A33" s="10" t="n">
        <v>30</v>
      </c>
      <c r="B33" s="4" t="n"/>
      <c r="C33" s="4" t="n"/>
      <c r="D33" s="4" t="n"/>
      <c r="E33" s="4" t="n"/>
    </row>
    <row r="34">
      <c r="A34" s="10" t="n">
        <v>31</v>
      </c>
      <c r="B34" s="4" t="n"/>
      <c r="C34" s="4" t="n"/>
      <c r="D34" s="4" t="n"/>
      <c r="E34" s="4" t="n"/>
    </row>
    <row r="35">
      <c r="A35" s="10" t="n">
        <v>32</v>
      </c>
      <c r="B35" s="4" t="n"/>
      <c r="C35" s="4" t="n"/>
      <c r="D35" s="4" t="n"/>
      <c r="E35" s="4" t="n"/>
    </row>
    <row r="36">
      <c r="A36" s="10" t="n">
        <v>33</v>
      </c>
      <c r="B36" s="4" t="n"/>
      <c r="C36" s="4" t="n"/>
      <c r="D36" s="4" t="n"/>
      <c r="E36" s="4" t="n"/>
    </row>
    <row r="37">
      <c r="A37" s="10" t="n">
        <v>34</v>
      </c>
      <c r="B37" s="4" t="n"/>
      <c r="C37" s="4" t="n"/>
      <c r="D37" s="4" t="n"/>
      <c r="E37" s="4" t="n"/>
    </row>
    <row r="38">
      <c r="A38" s="10" t="n">
        <v>35</v>
      </c>
      <c r="B38" s="4" t="n"/>
      <c r="C38" s="4" t="n"/>
      <c r="D38" s="4" t="n"/>
      <c r="E38" s="4" t="n"/>
    </row>
    <row r="39">
      <c r="A39" s="10" t="n">
        <v>36</v>
      </c>
      <c r="B39" s="4" t="n"/>
      <c r="C39" s="4" t="n"/>
      <c r="D39" s="4" t="n"/>
      <c r="E39" s="4" t="n"/>
    </row>
    <row r="40">
      <c r="A40" s="10" t="n">
        <v>37</v>
      </c>
      <c r="B40" s="4" t="n"/>
      <c r="C40" s="4" t="n"/>
      <c r="D40" s="4" t="n"/>
      <c r="E40" s="4" t="n"/>
    </row>
    <row r="41">
      <c r="A41" s="10" t="n">
        <v>38</v>
      </c>
      <c r="B41" s="4" t="n"/>
      <c r="C41" s="4" t="n"/>
      <c r="D41" s="4" t="n"/>
      <c r="E41" s="4" t="n"/>
    </row>
    <row r="42">
      <c r="A42" s="10" t="n">
        <v>39</v>
      </c>
      <c r="B42" s="4" t="n"/>
      <c r="C42" s="4" t="n"/>
      <c r="D42" s="4" t="n"/>
      <c r="E42" s="4" t="n"/>
    </row>
    <row r="43">
      <c r="A43" s="10" t="n">
        <v>40</v>
      </c>
      <c r="B43" s="4" t="n"/>
      <c r="C43" s="4" t="n"/>
      <c r="D43" s="4" t="n"/>
      <c r="E43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50" customWidth="1" min="3" max="3"/>
    <col width="30" customWidth="1" min="4" max="4"/>
    <col width="40" customWidth="1" min="5" max="5"/>
    <col width="10" customWidth="1" min="6" max="6"/>
  </cols>
  <sheetData>
    <row r="1">
      <c r="A1" s="1" t="inlineStr">
        <is>
          <t>課題</t>
        </is>
      </c>
    </row>
    <row r="2">
      <c r="A2" s="2" t="inlineStr">
        <is>
          <t>詰まった点・設計書の不備・改善案を 1 件 1 行。</t>
        </is>
      </c>
    </row>
    <row r="3">
      <c r="A3" s="3" t="inlineStr">
        <is>
          <t>No</t>
        </is>
      </c>
      <c r="B3" s="3" t="inlineStr">
        <is>
          <t>分類</t>
        </is>
      </c>
      <c r="C3" s="3" t="inlineStr">
        <is>
          <t>内容</t>
        </is>
      </c>
      <c r="D3" s="3" t="inlineStr">
        <is>
          <t>影響</t>
        </is>
      </c>
      <c r="E3" s="3" t="inlineStr">
        <is>
          <t>対応案</t>
        </is>
      </c>
      <c r="F3" s="3" t="inlineStr">
        <is>
          <t>状態</t>
        </is>
      </c>
    </row>
    <row r="4">
      <c r="A4" s="10" t="n">
        <v>1</v>
      </c>
      <c r="B4" s="4" t="n"/>
      <c r="C4" s="4" t="n"/>
      <c r="D4" s="4" t="n"/>
      <c r="E4" s="4" t="n"/>
      <c r="F4" s="4" t="n"/>
    </row>
    <row r="5">
      <c r="A5" s="10" t="n">
        <v>2</v>
      </c>
      <c r="B5" s="4" t="n"/>
      <c r="C5" s="4" t="n"/>
      <c r="D5" s="4" t="n"/>
      <c r="E5" s="4" t="n"/>
      <c r="F5" s="4" t="n"/>
    </row>
    <row r="6">
      <c r="A6" s="10" t="n">
        <v>3</v>
      </c>
      <c r="B6" s="4" t="n"/>
      <c r="C6" s="4" t="n"/>
      <c r="D6" s="4" t="n"/>
      <c r="E6" s="4" t="n"/>
      <c r="F6" s="4" t="n"/>
    </row>
    <row r="7">
      <c r="A7" s="10" t="n">
        <v>4</v>
      </c>
      <c r="B7" s="4" t="n"/>
      <c r="C7" s="4" t="n"/>
      <c r="D7" s="4" t="n"/>
      <c r="E7" s="4" t="n"/>
      <c r="F7" s="4" t="n"/>
    </row>
    <row r="8">
      <c r="A8" s="10" t="n">
        <v>5</v>
      </c>
      <c r="B8" s="4" t="n"/>
      <c r="C8" s="4" t="n"/>
      <c r="D8" s="4" t="n"/>
      <c r="E8" s="4" t="n"/>
      <c r="F8" s="4" t="n"/>
    </row>
    <row r="9">
      <c r="A9" s="10" t="n">
        <v>6</v>
      </c>
      <c r="B9" s="4" t="n"/>
      <c r="C9" s="4" t="n"/>
      <c r="D9" s="4" t="n"/>
      <c r="E9" s="4" t="n"/>
      <c r="F9" s="4" t="n"/>
    </row>
    <row r="10">
      <c r="A10" s="10" t="n">
        <v>7</v>
      </c>
      <c r="B10" s="4" t="n"/>
      <c r="C10" s="4" t="n"/>
      <c r="D10" s="4" t="n"/>
      <c r="E10" s="4" t="n"/>
      <c r="F10" s="4" t="n"/>
    </row>
    <row r="11">
      <c r="A11" s="10" t="n">
        <v>8</v>
      </c>
      <c r="B11" s="4" t="n"/>
      <c r="C11" s="4" t="n"/>
      <c r="D11" s="4" t="n"/>
      <c r="E11" s="4" t="n"/>
      <c r="F11" s="4" t="n"/>
    </row>
    <row r="12">
      <c r="A12" s="10" t="n">
        <v>9</v>
      </c>
      <c r="B12" s="4" t="n"/>
      <c r="C12" s="4" t="n"/>
      <c r="D12" s="4" t="n"/>
      <c r="E12" s="4" t="n"/>
      <c r="F12" s="4" t="n"/>
    </row>
    <row r="13">
      <c r="A13" s="10" t="n">
        <v>10</v>
      </c>
      <c r="B13" s="4" t="n"/>
      <c r="C13" s="4" t="n"/>
      <c r="D13" s="4" t="n"/>
      <c r="E13" s="4" t="n"/>
      <c r="F13" s="4" t="n"/>
    </row>
    <row r="14">
      <c r="A14" s="10" t="n">
        <v>11</v>
      </c>
      <c r="B14" s="4" t="n"/>
      <c r="C14" s="4" t="n"/>
      <c r="D14" s="4" t="n"/>
      <c r="E14" s="4" t="n"/>
      <c r="F14" s="4" t="n"/>
    </row>
    <row r="15">
      <c r="A15" s="10" t="n">
        <v>12</v>
      </c>
      <c r="B15" s="4" t="n"/>
      <c r="C15" s="4" t="n"/>
      <c r="D15" s="4" t="n"/>
      <c r="E15" s="4" t="n"/>
      <c r="F15" s="4" t="n"/>
    </row>
    <row r="16">
      <c r="A16" s="10" t="n">
        <v>13</v>
      </c>
      <c r="B16" s="4" t="n"/>
      <c r="C16" s="4" t="n"/>
      <c r="D16" s="4" t="n"/>
      <c r="E16" s="4" t="n"/>
      <c r="F16" s="4" t="n"/>
    </row>
    <row r="17">
      <c r="A17" s="10" t="n">
        <v>14</v>
      </c>
      <c r="B17" s="4" t="n"/>
      <c r="C17" s="4" t="n"/>
      <c r="D17" s="4" t="n"/>
      <c r="E17" s="4" t="n"/>
      <c r="F17" s="4" t="n"/>
    </row>
    <row r="18">
      <c r="A18" s="10" t="n">
        <v>15</v>
      </c>
      <c r="B18" s="4" t="n"/>
      <c r="C18" s="4" t="n"/>
      <c r="D18" s="4" t="n"/>
      <c r="E18" s="4" t="n"/>
      <c r="F18" s="4" t="n"/>
    </row>
    <row r="19">
      <c r="A19" s="10" t="n">
        <v>16</v>
      </c>
      <c r="B19" s="4" t="n"/>
      <c r="C19" s="4" t="n"/>
      <c r="D19" s="4" t="n"/>
      <c r="E19" s="4" t="n"/>
      <c r="F19" s="4" t="n"/>
    </row>
    <row r="20">
      <c r="A20" s="10" t="n">
        <v>17</v>
      </c>
      <c r="B20" s="4" t="n"/>
      <c r="C20" s="4" t="n"/>
      <c r="D20" s="4" t="n"/>
      <c r="E20" s="4" t="n"/>
      <c r="F20" s="4" t="n"/>
    </row>
    <row r="21">
      <c r="A21" s="10" t="n">
        <v>18</v>
      </c>
      <c r="B21" s="4" t="n"/>
      <c r="C21" s="4" t="n"/>
      <c r="D21" s="4" t="n"/>
      <c r="E21" s="4" t="n"/>
      <c r="F21" s="4" t="n"/>
    </row>
    <row r="22">
      <c r="A22" s="10" t="n">
        <v>19</v>
      </c>
      <c r="B22" s="4" t="n"/>
      <c r="C22" s="4" t="n"/>
      <c r="D22" s="4" t="n"/>
      <c r="E22" s="4" t="n"/>
      <c r="F22" s="4" t="n"/>
    </row>
    <row r="23">
      <c r="A23" s="10" t="n">
        <v>20</v>
      </c>
      <c r="B23" s="4" t="n"/>
      <c r="C23" s="4" t="n"/>
      <c r="D23" s="4" t="n"/>
      <c r="E23" s="4" t="n"/>
      <c r="F23" s="4" t="n"/>
    </row>
    <row r="24">
      <c r="A24" s="10" t="n">
        <v>21</v>
      </c>
      <c r="B24" s="4" t="n"/>
      <c r="C24" s="4" t="n"/>
      <c r="D24" s="4" t="n"/>
      <c r="E24" s="4" t="n"/>
      <c r="F24" s="4" t="n"/>
    </row>
    <row r="25">
      <c r="A25" s="10" t="n">
        <v>22</v>
      </c>
      <c r="B25" s="4" t="n"/>
      <c r="C25" s="4" t="n"/>
      <c r="D25" s="4" t="n"/>
      <c r="E25" s="4" t="n"/>
      <c r="F25" s="4" t="n"/>
    </row>
    <row r="26">
      <c r="A26" s="10" t="n">
        <v>23</v>
      </c>
      <c r="B26" s="4" t="n"/>
      <c r="C26" s="4" t="n"/>
      <c r="D26" s="4" t="n"/>
      <c r="E26" s="4" t="n"/>
      <c r="F26" s="4" t="n"/>
    </row>
    <row r="27">
      <c r="A27" s="10" t="n">
        <v>24</v>
      </c>
      <c r="B27" s="4" t="n"/>
      <c r="C27" s="4" t="n"/>
      <c r="D27" s="4" t="n"/>
      <c r="E27" s="4" t="n"/>
      <c r="F27" s="4" t="n"/>
    </row>
    <row r="28">
      <c r="A28" s="10" t="n">
        <v>25</v>
      </c>
      <c r="B28" s="4" t="n"/>
      <c r="C28" s="4" t="n"/>
      <c r="D28" s="4" t="n"/>
      <c r="E28" s="4" t="n"/>
      <c r="F28" s="4" t="n"/>
    </row>
    <row r="29">
      <c r="A29" s="10" t="n">
        <v>26</v>
      </c>
      <c r="B29" s="4" t="n"/>
      <c r="C29" s="4" t="n"/>
      <c r="D29" s="4" t="n"/>
      <c r="E29" s="4" t="n"/>
      <c r="F29" s="4" t="n"/>
    </row>
    <row r="30">
      <c r="A30" s="10" t="n">
        <v>27</v>
      </c>
      <c r="B30" s="4" t="n"/>
      <c r="C30" s="4" t="n"/>
      <c r="D30" s="4" t="n"/>
      <c r="E30" s="4" t="n"/>
      <c r="F30" s="4" t="n"/>
    </row>
    <row r="31">
      <c r="A31" s="10" t="n">
        <v>28</v>
      </c>
      <c r="B31" s="4" t="n"/>
      <c r="C31" s="4" t="n"/>
      <c r="D31" s="4" t="n"/>
      <c r="E31" s="4" t="n"/>
      <c r="F31" s="4" t="n"/>
    </row>
    <row r="32">
      <c r="A32" s="10" t="n">
        <v>29</v>
      </c>
      <c r="B32" s="4" t="n"/>
      <c r="C32" s="4" t="n"/>
      <c r="D32" s="4" t="n"/>
      <c r="E32" s="4" t="n"/>
      <c r="F32" s="4" t="n"/>
    </row>
    <row r="33">
      <c r="A33" s="10" t="n">
        <v>30</v>
      </c>
      <c r="B33" s="4" t="n"/>
      <c r="C33" s="4" t="n"/>
      <c r="D33" s="4" t="n"/>
      <c r="E33" s="4" t="n"/>
      <c r="F33" s="4" t="n"/>
    </row>
  </sheetData>
  <dataValidations count="2">
    <dataValidation sqref="B4:B33" showDropDown="0" showInputMessage="0" showErrorMessage="0" allowBlank="1" errorTitle="入力値" error="一覧から選んでください" type="list">
      <formula1>"設計書,コード,環境,手順,ツール,その他"</formula1>
    </dataValidation>
    <dataValidation sqref="F4:F33" showDropDown="0" showInputMessage="0" showErrorMessage="0" allowBlank="1" errorTitle="入力値" error="一覧から選んでください" type="list">
      <formula1>"未対応,対応中,完了,保留"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1" t="inlineStr">
        <is>
          <t>記入要領（抜粋）</t>
        </is>
      </c>
    </row>
    <row r="2">
      <c r="A2" s="2" t="inlineStr">
        <is>
          <t>全文は docs/06_検証記録様式.md を参照。</t>
        </is>
      </c>
    </row>
    <row r="4">
      <c r="A4" s="3" t="inlineStr">
        <is>
          <t>作業区分</t>
        </is>
      </c>
      <c r="B4" s="3" t="inlineStr">
        <is>
          <t>内容（Ansible の場合）</t>
        </is>
      </c>
      <c r="C4" s="3" t="inlineStr">
        <is>
          <t>内容（手動の場合）</t>
        </is>
      </c>
    </row>
    <row r="5">
      <c r="A5" s="10" t="inlineStr">
        <is>
          <t>設計書の読み解き</t>
        </is>
      </c>
      <c r="B5" s="10" t="inlineStr">
        <is>
          <t>設計書を読み、何を設定するか・曖昧な点を洗い出す</t>
        </is>
      </c>
      <c r="C5" s="10" t="inlineStr">
        <is>
          <t>同左</t>
        </is>
      </c>
    </row>
    <row r="6">
      <c r="A6" s="10" t="inlineStr">
        <is>
          <t>変数化</t>
        </is>
      </c>
      <c r="B6" s="10" t="inlineStr">
        <is>
          <t>設計値をインベントリ（group_vars / host_vars）に書く</t>
        </is>
      </c>
      <c r="C6" s="10" t="inlineStr">
        <is>
          <t>設計値を作業用の一覧（パラメータシート）に整理する</t>
        </is>
      </c>
    </row>
    <row r="7">
      <c r="A7" s="10" t="inlineStr">
        <is>
          <t>コード修正</t>
        </is>
      </c>
      <c r="B7" s="10" t="inlineStr">
        <is>
          <t>変数だけでは表せない差分のために、ロール・Playbook を修正・追加する</t>
        </is>
      </c>
      <c r="C7" s="10" t="inlineStr">
        <is>
          <t>該当なし（記入しない）</t>
        </is>
      </c>
    </row>
    <row r="8">
      <c r="A8" s="10" t="inlineStr">
        <is>
          <t>実行</t>
        </is>
      </c>
      <c r="B8" s="10" t="inlineStr">
        <is>
          <t>Playbook を流す</t>
        </is>
      </c>
      <c r="C8" s="10" t="inlineStr">
        <is>
          <t>GUI・コマンドで設定する</t>
        </is>
      </c>
    </row>
    <row r="9">
      <c r="A9" s="10" t="inlineStr">
        <is>
          <t>確認</t>
        </is>
      </c>
      <c r="B9" s="10" t="inlineStr">
        <is>
          <t>結果を確かめる（99_verify.yml、証跡、目視）</t>
        </is>
      </c>
      <c r="C9" s="10" t="inlineStr">
        <is>
          <t>同左（99_verify.yml を使ってもよい）</t>
        </is>
      </c>
    </row>
    <row r="10">
      <c r="A10" s="10" t="inlineStr">
        <is>
          <t>手戻り</t>
        </is>
      </c>
      <c r="B10" s="10" t="inlineStr">
        <is>
          <t>誤り・失敗のやり直し（原因調査、修正、再実行）</t>
        </is>
      </c>
      <c r="C10" s="10" t="inlineStr">
        <is>
          <t>同左</t>
        </is>
      </c>
    </row>
    <row r="12">
      <c r="A12" s="3" t="inlineStr">
        <is>
          <t>記号</t>
        </is>
      </c>
      <c r="B12" s="3" t="inlineStr">
        <is>
          <t>意味</t>
        </is>
      </c>
    </row>
    <row r="13">
      <c r="A13" s="10" t="inlineStr">
        <is>
          <t>◎</t>
        </is>
      </c>
      <c r="B13" s="10" t="inlineStr">
        <is>
          <t>構築し、99_verify.yml の突合せで自動判定まで確認した</t>
        </is>
      </c>
    </row>
    <row r="14">
      <c r="A14" s="10" t="inlineStr">
        <is>
          <t>○</t>
        </is>
      </c>
      <c r="B14" s="10" t="inlineStr">
        <is>
          <t>構築し、証跡・目視で確認した</t>
        </is>
      </c>
    </row>
    <row r="15">
      <c r="A15" s="10" t="inlineStr">
        <is>
          <t>△</t>
        </is>
      </c>
      <c r="B15" s="10" t="inlineStr">
        <is>
          <t>一部のみ構築した、または代替手段で確認した</t>
        </is>
      </c>
    </row>
    <row r="16">
      <c r="A16" s="10" t="inlineStr">
        <is>
          <t>×</t>
        </is>
      </c>
      <c r="B16" s="10" t="inlineStr">
        <is>
          <t>構築できなかった（理由を備考に書く）</t>
        </is>
      </c>
    </row>
    <row r="17">
      <c r="A17" s="10" t="inlineStr">
        <is>
          <t>−</t>
        </is>
      </c>
      <c r="B17" s="10" t="inlineStr">
        <is>
          <t>対象外（設計書に記載なし、クラウド側で決まる、構築の範囲外）</t>
        </is>
      </c>
    </row>
    <row r="19">
      <c r="A19" s="3" t="inlineStr">
        <is>
          <t>構築方法</t>
        </is>
      </c>
      <c r="B19" s="3" t="inlineStr">
        <is>
          <t>意味</t>
        </is>
      </c>
    </row>
    <row r="20">
      <c r="A20" s="10" t="inlineStr">
        <is>
          <t>変数のみ</t>
        </is>
      </c>
      <c r="B20" s="10" t="inlineStr">
        <is>
          <t>既存のロールに値を渡すだけで構築できた</t>
        </is>
      </c>
    </row>
    <row r="21">
      <c r="A21" s="10" t="inlineStr">
        <is>
          <t>ロール修正</t>
        </is>
      </c>
      <c r="B21" s="10" t="inlineStr">
        <is>
          <t>既存のロールの処理を変えた（変数の追加を含む）</t>
        </is>
      </c>
    </row>
    <row r="22">
      <c r="A22" s="10" t="inlineStr">
        <is>
          <t>新規ロール</t>
        </is>
      </c>
      <c r="B22" s="10" t="inlineStr">
        <is>
          <t>新しいロールを作った</t>
        </is>
      </c>
    </row>
    <row r="23">
      <c r="A23" s="10" t="inlineStr">
        <is>
          <t>手動</t>
        </is>
      </c>
      <c r="B23" s="10" t="inlineStr">
        <is>
          <t>手作業で設定した</t>
        </is>
      </c>
    </row>
    <row r="24">
      <c r="A24" s="10" t="inlineStr">
        <is>
          <t>クラウド側</t>
        </is>
      </c>
      <c r="B24" s="10" t="inlineStr">
        <is>
          <t>Azure / AWS / Terraform 側で決まる、または設定する</t>
        </is>
      </c>
    </row>
    <row r="25">
      <c r="A25" s="10" t="inlineStr">
        <is>
          <t>対象外</t>
        </is>
      </c>
      <c r="B25" s="10" t="inlineStr">
        <is>
          <t>構築していない</t>
        </is>
      </c>
    </row>
    <row r="27">
      <c r="A27" s="3" t="inlineStr">
        <is>
          <t>区分</t>
        </is>
      </c>
      <c r="B27" s="3" t="inlineStr">
        <is>
          <t>意味</t>
        </is>
      </c>
      <c r="C27" s="3" t="inlineStr">
        <is>
          <t>例</t>
        </is>
      </c>
    </row>
    <row r="28">
      <c r="A28" s="10" t="inlineStr">
        <is>
          <t>変数のみ</t>
        </is>
      </c>
      <c r="B28" s="10" t="inlineStr">
        <is>
          <t>インベントリに値を書くだけで済んだ</t>
        </is>
      </c>
      <c r="C28" s="10" t="inlineStr">
        <is>
          <t>ドメイン名、ローカルユーザ</t>
        </is>
      </c>
    </row>
    <row r="29">
      <c r="A29" s="10" t="inlineStr">
        <is>
          <t>ロール修正</t>
        </is>
      </c>
      <c r="B29" s="10" t="inlineStr">
        <is>
          <t>既存のロールの処理を変えた</t>
        </is>
      </c>
      <c r="C29" s="10" t="inlineStr">
        <is>
          <t>IPv6 無効化の値を変数化した</t>
        </is>
      </c>
    </row>
    <row r="30">
      <c r="A30" s="10" t="inlineStr">
        <is>
          <t>新規ロール</t>
        </is>
      </c>
      <c r="B30" s="10" t="inlineStr">
        <is>
          <t>新しいロールを作った</t>
        </is>
      </c>
      <c r="C30" s="10" t="inlineStr">
        <is>
          <t>ソフトウェア導入</t>
        </is>
      </c>
    </row>
    <row r="31">
      <c r="A31" s="10" t="inlineStr">
        <is>
          <t>設計書要確認</t>
        </is>
      </c>
      <c r="B31" s="10" t="inlineStr">
        <is>
          <t>設計書の記載が曖昧・矛盾していて決められない</t>
        </is>
      </c>
      <c r="C31" s="10" t="inlineStr">
        <is>
          <t>OS 版数の記載が食い違う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2026-09-25T07:12:50Z</dcterms:created>
  <dcterms:modified xmlns:dcterms="http://purl.org/dc/terms/" xmlns:xsi="http://www.w3.org/2001/XMLSchema-instance" xsi:type="dcterms:W3CDTF">2026-09-25T07:12:50Z</dcterms:modified>
</cp:coreProperties>
</file>